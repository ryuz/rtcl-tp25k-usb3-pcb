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643ea309c96c6f6/Documents/Development/kicad/rtcl-tp25k-usb3/doc/"/>
    </mc:Choice>
  </mc:AlternateContent>
  <xr:revisionPtr revIDLastSave="8" documentId="8_{72896678-83F8-44DF-99F0-9D7095B7A3A0}" xr6:coauthVersionLast="47" xr6:coauthVersionMax="47" xr10:uidLastSave="{1D58179C-4072-45E6-99B3-B93F8BF3DBB9}"/>
  <bookViews>
    <workbookView xWindow="-550" yWindow="320" windowWidth="26130" windowHeight="20310" xr2:uid="{A78D37FF-A451-4D8E-BDB5-E128638CBC56}"/>
  </bookViews>
  <sheets>
    <sheet name="pin_assign_with_lengths" sheetId="1" r:id="rId1"/>
  </sheets>
  <calcPr calcId="0"/>
</workbook>
</file>

<file path=xl/calcChain.xml><?xml version="1.0" encoding="utf-8"?>
<calcChain xmlns="http://schemas.openxmlformats.org/spreadsheetml/2006/main">
  <c r="J53" i="1" l="1"/>
  <c r="J52" i="1"/>
  <c r="J51" i="1"/>
  <c r="J50" i="1"/>
</calcChain>
</file>

<file path=xl/sharedStrings.xml><?xml version="1.0" encoding="utf-8"?>
<sst xmlns="http://schemas.openxmlformats.org/spreadsheetml/2006/main" count="296" uniqueCount="243">
  <si>
    <t>RTL</t>
  </si>
  <si>
    <t>pin</t>
  </si>
  <si>
    <t>SoMネット名</t>
  </si>
  <si>
    <t>FT601ネット名</t>
  </si>
  <si>
    <t>SoMデータシート照合キー</t>
  </si>
  <si>
    <t>SoMデータシート最終キー</t>
  </si>
  <si>
    <t>SoM内配線長(mm)</t>
  </si>
  <si>
    <t>設計基板_SoM側配線長(mm)</t>
  </si>
  <si>
    <t>設計基板_FT601側配線長(mm)</t>
  </si>
  <si>
    <t>総配線長(mm)</t>
  </si>
  <si>
    <t>ft601_clk</t>
  </si>
  <si>
    <t>K5</t>
  </si>
  <si>
    <t>K5_IOT63B</t>
  </si>
  <si>
    <t>FT601_CLK</t>
  </si>
  <si>
    <t>IOT63B</t>
  </si>
  <si>
    <t>ft601_txe_n</t>
  </si>
  <si>
    <t>G2</t>
  </si>
  <si>
    <t>G2_IOR24A_40P</t>
  </si>
  <si>
    <t>FT601_TXE</t>
  </si>
  <si>
    <t>IOR24A</t>
  </si>
  <si>
    <t>ft601_rxf_n</t>
  </si>
  <si>
    <t>K4</t>
  </si>
  <si>
    <t>K4_IOR22B_40P</t>
  </si>
  <si>
    <t>FT601_RXF</t>
  </si>
  <si>
    <t>IOR22B</t>
  </si>
  <si>
    <t>ft601_siwu_n</t>
  </si>
  <si>
    <t>J4</t>
  </si>
  <si>
    <t>J4_IOR22A_40P</t>
  </si>
  <si>
    <t>FT601_SIWU</t>
  </si>
  <si>
    <t>IOR22A</t>
  </si>
  <si>
    <t>ft601_wr_n</t>
  </si>
  <si>
    <t>K2</t>
  </si>
  <si>
    <t>K2_IOR20B_40P</t>
  </si>
  <si>
    <t>FT601_WR</t>
  </si>
  <si>
    <t>IOR20B</t>
  </si>
  <si>
    <t>ft601_rd_n</t>
  </si>
  <si>
    <t>K1</t>
  </si>
  <si>
    <t>K1_IOR20A_40P</t>
  </si>
  <si>
    <t>FT601_RD</t>
  </si>
  <si>
    <t>IOR20A</t>
  </si>
  <si>
    <t>ft601_oe_n</t>
  </si>
  <si>
    <t>L1</t>
  </si>
  <si>
    <t>L1_IOR18B_40P</t>
  </si>
  <si>
    <t>FT601_OE</t>
  </si>
  <si>
    <t>IOR18B</t>
  </si>
  <si>
    <t>ft601_gpio[0]</t>
  </si>
  <si>
    <t>G1</t>
  </si>
  <si>
    <t>G1_IOR24B_40P</t>
  </si>
  <si>
    <t>FT601_GPIO0</t>
  </si>
  <si>
    <t>IOR24B</t>
  </si>
  <si>
    <t>ft601_gpio[1]</t>
  </si>
  <si>
    <t>L4</t>
  </si>
  <si>
    <t>L4_IOR31A_40P</t>
  </si>
  <si>
    <t>FT601_GPIO1</t>
  </si>
  <si>
    <t>IOR31A</t>
  </si>
  <si>
    <t>IOT31A</t>
  </si>
  <si>
    <t>ft601_be[0]</t>
  </si>
  <si>
    <t>J1</t>
  </si>
  <si>
    <t>J1_IOR33A_40P</t>
  </si>
  <si>
    <t>FT601_BE0</t>
  </si>
  <si>
    <t>IOR33A</t>
  </si>
  <si>
    <t>ft601_be[1]</t>
  </si>
  <si>
    <t>L3</t>
  </si>
  <si>
    <t>L3_IOR31B_40P</t>
  </si>
  <si>
    <t>FT601_BE1</t>
  </si>
  <si>
    <t>IOR31B</t>
  </si>
  <si>
    <t>IOT31B</t>
  </si>
  <si>
    <t>ft601_be[2]</t>
  </si>
  <si>
    <t>FT601_BE2</t>
  </si>
  <si>
    <t>ft601_be[3]</t>
  </si>
  <si>
    <t>FT601_BE3</t>
  </si>
  <si>
    <t>ft601_data[0]</t>
  </si>
  <si>
    <t>L11</t>
  </si>
  <si>
    <t>L11_IOT11B</t>
  </si>
  <si>
    <t>FT601_D0</t>
  </si>
  <si>
    <t>IOT11B</t>
  </si>
  <si>
    <t>ft601_data[1]</t>
  </si>
  <si>
    <t>K11</t>
  </si>
  <si>
    <t>K11_IOT11A</t>
  </si>
  <si>
    <t>FT601_D1</t>
  </si>
  <si>
    <t>IOT11A</t>
  </si>
  <si>
    <t>ft601_data[2]</t>
  </si>
  <si>
    <t>K10</t>
  </si>
  <si>
    <t>K10_IOT15B_40P</t>
  </si>
  <si>
    <t>FT601_D2</t>
  </si>
  <si>
    <t>IOT15B</t>
  </si>
  <si>
    <t>ft601_data[3]</t>
  </si>
  <si>
    <t>L10</t>
  </si>
  <si>
    <t>L10_IOT15A_40P</t>
  </si>
  <si>
    <t>FT601_D3</t>
  </si>
  <si>
    <t>IOT15A</t>
  </si>
  <si>
    <t>ft601_data[4]</t>
  </si>
  <si>
    <t>L8</t>
  </si>
  <si>
    <t>L8_IOT19B_40P</t>
  </si>
  <si>
    <t>FT601_D4</t>
  </si>
  <si>
    <t>IOT19B</t>
  </si>
  <si>
    <t>ft601_data[5]</t>
  </si>
  <si>
    <t>L7</t>
  </si>
  <si>
    <t>L7_IOT19A_40P</t>
  </si>
  <si>
    <t>FT601_D5</t>
  </si>
  <si>
    <t>IOT19A</t>
  </si>
  <si>
    <t>ft601_data[6]</t>
  </si>
  <si>
    <t>J7</t>
  </si>
  <si>
    <t>J7_IOT21B_40P</t>
  </si>
  <si>
    <t>FT601_D6</t>
  </si>
  <si>
    <t>IOT21B</t>
  </si>
  <si>
    <t>ft601_data[7]</t>
  </si>
  <si>
    <t>K7</t>
  </si>
  <si>
    <t>K7_IOT21A_40P</t>
  </si>
  <si>
    <t>FT601_D7</t>
  </si>
  <si>
    <t>IOT21A</t>
  </si>
  <si>
    <t>ft601_data[8]</t>
  </si>
  <si>
    <t>K6</t>
  </si>
  <si>
    <t>K6_IOT23B_USB_N</t>
  </si>
  <si>
    <t>FT601_D8</t>
  </si>
  <si>
    <t>IOT23B</t>
  </si>
  <si>
    <t>ft601_data[9]</t>
  </si>
  <si>
    <t>L6</t>
  </si>
  <si>
    <t>L6_IOT23A_USB_P</t>
  </si>
  <si>
    <t>FT601_D9</t>
  </si>
  <si>
    <t>IOT23A</t>
  </si>
  <si>
    <t>ft601_data[10]</t>
  </si>
  <si>
    <t>G5</t>
  </si>
  <si>
    <t>G5_IOT72B</t>
  </si>
  <si>
    <t>FT601_D10</t>
  </si>
  <si>
    <t>IOT72B</t>
  </si>
  <si>
    <t>ft601_data[11]</t>
  </si>
  <si>
    <t>F5</t>
  </si>
  <si>
    <t>F5_IOT72A</t>
  </si>
  <si>
    <t>FT601_D11</t>
  </si>
  <si>
    <t>IOT72A</t>
  </si>
  <si>
    <t>ft601_data[12]</t>
  </si>
  <si>
    <t>G8</t>
  </si>
  <si>
    <t>G8_IOT68B</t>
  </si>
  <si>
    <t>FT601_D12</t>
  </si>
  <si>
    <t>IOT68B</t>
  </si>
  <si>
    <t>ft601_data[13]</t>
  </si>
  <si>
    <t>G7</t>
  </si>
  <si>
    <t>G7_IOT68A</t>
  </si>
  <si>
    <t>FT601_D13</t>
  </si>
  <si>
    <t>IOT68A</t>
  </si>
  <si>
    <t>ft601_data[14]</t>
  </si>
  <si>
    <t>H7</t>
  </si>
  <si>
    <t>H7_IOT66B</t>
  </si>
  <si>
    <t>FT601_D14</t>
  </si>
  <si>
    <t>IOT66B</t>
  </si>
  <si>
    <t>ft601_data[15]</t>
  </si>
  <si>
    <t>H8</t>
  </si>
  <si>
    <t>H8_IOT66A</t>
  </si>
  <si>
    <t>FT601_D15</t>
  </si>
  <si>
    <t>IOT66A</t>
  </si>
  <si>
    <t>ft601_data[16]</t>
  </si>
  <si>
    <t>H5</t>
  </si>
  <si>
    <t>H5_IOT61A</t>
  </si>
  <si>
    <t>FT601_D16</t>
  </si>
  <si>
    <t>IOT61A</t>
  </si>
  <si>
    <t>ft601_data[17]</t>
  </si>
  <si>
    <t>J5</t>
  </si>
  <si>
    <t>J5_IOT61B</t>
  </si>
  <si>
    <t>FT601_D17</t>
  </si>
  <si>
    <t>IOT61B</t>
  </si>
  <si>
    <t>ft601_data[18]</t>
  </si>
  <si>
    <t>L5</t>
  </si>
  <si>
    <t>L5_IOT63A</t>
  </si>
  <si>
    <t>FT601_D18</t>
  </si>
  <si>
    <t>IOT63A</t>
  </si>
  <si>
    <t>ft601_data[19]</t>
  </si>
  <si>
    <t>L9</t>
  </si>
  <si>
    <t>L9_IOT31A_40P</t>
  </si>
  <si>
    <t>FT601_D19</t>
  </si>
  <si>
    <t>ft601_data[20]</t>
  </si>
  <si>
    <t>K9</t>
  </si>
  <si>
    <t>K9_IOT31B_40P</t>
  </si>
  <si>
    <t>FT601_D20</t>
  </si>
  <si>
    <t>ft601_data[21]</t>
  </si>
  <si>
    <t>J8</t>
  </si>
  <si>
    <t>J8_IOT56A_40P</t>
  </si>
  <si>
    <t>FT601_D21</t>
  </si>
  <si>
    <t>IOT56A</t>
  </si>
  <si>
    <t>ft601_data[22]</t>
  </si>
  <si>
    <t>K8</t>
  </si>
  <si>
    <t>K8_IOT56B_40P</t>
  </si>
  <si>
    <t>FT601_D22</t>
  </si>
  <si>
    <t>IOT56B</t>
  </si>
  <si>
    <t>ft601_data[23]</t>
  </si>
  <si>
    <t>F7</t>
  </si>
  <si>
    <t>F7_IOT58A_40P</t>
  </si>
  <si>
    <t>FT601_D23</t>
  </si>
  <si>
    <t>IOT58A</t>
  </si>
  <si>
    <t>ft601_data[24]</t>
  </si>
  <si>
    <t>F6</t>
  </si>
  <si>
    <t>F6_IOT58B_40P</t>
  </si>
  <si>
    <t>FT601_D24</t>
  </si>
  <si>
    <t>IOT58B</t>
  </si>
  <si>
    <t>ft601_data[25]</t>
  </si>
  <si>
    <t>J11</t>
  </si>
  <si>
    <t>J11_IOT1A_40P</t>
  </si>
  <si>
    <t>FT601_D25</t>
  </si>
  <si>
    <t>IOT1A</t>
  </si>
  <si>
    <t>ft601_data[26]</t>
  </si>
  <si>
    <t>J10</t>
  </si>
  <si>
    <t>J10_IOT1B_40P</t>
  </si>
  <si>
    <t>FT601_D26</t>
  </si>
  <si>
    <t>IOT1B</t>
  </si>
  <si>
    <t>ft601_data[27]</t>
  </si>
  <si>
    <t>H11</t>
  </si>
  <si>
    <t>H11_IOT3A_S1</t>
  </si>
  <si>
    <t>FT601_D27</t>
  </si>
  <si>
    <t>IOT3A</t>
  </si>
  <si>
    <t>ft601_data[28]</t>
  </si>
  <si>
    <t>H10</t>
  </si>
  <si>
    <t>H10_IOT3B_S2</t>
  </si>
  <si>
    <t>FT601_D28</t>
  </si>
  <si>
    <t>IOT3B</t>
  </si>
  <si>
    <t>ft601_data[29]</t>
  </si>
  <si>
    <t>G11</t>
  </si>
  <si>
    <t>G11_IOT7A</t>
  </si>
  <si>
    <t>FT601_D29</t>
  </si>
  <si>
    <t>IOT7A</t>
  </si>
  <si>
    <t>ft601_data[30]</t>
  </si>
  <si>
    <t>G4</t>
  </si>
  <si>
    <t>G4_IOB89A_40P</t>
  </si>
  <si>
    <t>FT601_D30</t>
  </si>
  <si>
    <t>IOB89A</t>
  </si>
  <si>
    <t>ft601_data[31]</t>
  </si>
  <si>
    <t>J2</t>
  </si>
  <si>
    <t>J2_IOR33B_40P</t>
  </si>
  <si>
    <t>FT601_D31</t>
  </si>
  <si>
    <t>IOR33B</t>
  </si>
  <si>
    <t>ft601_reset_n</t>
  </si>
  <si>
    <t>L2</t>
  </si>
  <si>
    <t>L2_IOR18A_40P</t>
  </si>
  <si>
    <t>FT601_RESET</t>
  </si>
  <si>
    <t>IOR18A</t>
  </si>
  <si>
    <t>ft601_wakeup</t>
  </si>
  <si>
    <t>H4</t>
  </si>
  <si>
    <t>H4_IOB89B_40P</t>
  </si>
  <si>
    <t>FT601_WAKEUP</t>
  </si>
  <si>
    <t>IOB89B</t>
  </si>
  <si>
    <t>min</t>
    <phoneticPr fontId="18"/>
  </si>
  <si>
    <t>max</t>
    <phoneticPr fontId="18"/>
  </si>
  <si>
    <t>diff</t>
    <phoneticPr fontId="18"/>
  </si>
  <si>
    <t>ave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</si>
</sst>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1A802-7F60-41E5-BF92-19F651DCFB12}">
  <dimension ref="A1:J53"/>
  <sheetViews>
    <sheetView tabSelected="1" topLeftCell="A18" workbookViewId="0">
      <selection activeCell="J54" sqref="J54"/>
    </sheetView>
  </sheetViews>
  <sheetFormatPr defaultRowHeight="18" x14ac:dyDescent="0.55000000000000004"/>
  <sheetData>
    <row r="1" spans="1:10" x14ac:dyDescent="0.5500000000000000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55000000000000004">
      <c r="A2" t="s">
        <v>10</v>
      </c>
      <c r="B2" t="s">
        <v>11</v>
      </c>
      <c r="C2" t="s">
        <v>12</v>
      </c>
      <c r="D2" t="s">
        <v>13</v>
      </c>
      <c r="E2" t="s">
        <v>14</v>
      </c>
      <c r="F2" t="s">
        <v>14</v>
      </c>
      <c r="G2">
        <v>10.475</v>
      </c>
      <c r="H2">
        <v>14.1249</v>
      </c>
      <c r="I2">
        <v>3.0962999999999998</v>
      </c>
      <c r="J2">
        <v>27.696200000000001</v>
      </c>
    </row>
    <row r="3" spans="1:10" x14ac:dyDescent="0.55000000000000004">
      <c r="A3" t="s">
        <v>15</v>
      </c>
      <c r="B3" t="s">
        <v>16</v>
      </c>
      <c r="C3" t="s">
        <v>17</v>
      </c>
      <c r="D3" t="s">
        <v>18</v>
      </c>
      <c r="E3" t="s">
        <v>19</v>
      </c>
      <c r="F3" t="s">
        <v>19</v>
      </c>
      <c r="G3">
        <v>9.5681999999999992</v>
      </c>
      <c r="H3">
        <v>19.283799999999999</v>
      </c>
      <c r="I3">
        <v>5.8151999999999999</v>
      </c>
      <c r="J3">
        <v>34.667200000000001</v>
      </c>
    </row>
    <row r="4" spans="1:10" x14ac:dyDescent="0.55000000000000004">
      <c r="A4" t="s">
        <v>20</v>
      </c>
      <c r="B4" t="s">
        <v>21</v>
      </c>
      <c r="C4" t="s">
        <v>22</v>
      </c>
      <c r="D4" t="s">
        <v>23</v>
      </c>
      <c r="E4" t="s">
        <v>24</v>
      </c>
      <c r="F4" t="s">
        <v>24</v>
      </c>
      <c r="G4">
        <v>10.9855</v>
      </c>
      <c r="H4">
        <v>18.359400000000001</v>
      </c>
      <c r="I4">
        <v>6.8052000000000001</v>
      </c>
      <c r="J4">
        <v>36.150100000000002</v>
      </c>
    </row>
    <row r="5" spans="1:10" x14ac:dyDescent="0.55000000000000004">
      <c r="A5" t="s">
        <v>25</v>
      </c>
      <c r="B5" t="s">
        <v>26</v>
      </c>
      <c r="C5" t="s">
        <v>27</v>
      </c>
      <c r="D5" t="s">
        <v>28</v>
      </c>
      <c r="E5" t="s">
        <v>29</v>
      </c>
      <c r="F5" t="s">
        <v>29</v>
      </c>
      <c r="G5">
        <v>11.0007</v>
      </c>
      <c r="I5">
        <v>26.691700000000001</v>
      </c>
      <c r="J5">
        <v>37.692399999999999</v>
      </c>
    </row>
    <row r="6" spans="1:10" x14ac:dyDescent="0.55000000000000004">
      <c r="A6" t="s">
        <v>30</v>
      </c>
      <c r="B6" t="s">
        <v>31</v>
      </c>
      <c r="C6" t="s">
        <v>32</v>
      </c>
      <c r="D6" t="s">
        <v>33</v>
      </c>
      <c r="E6" t="s">
        <v>34</v>
      </c>
      <c r="F6" t="s">
        <v>34</v>
      </c>
      <c r="G6">
        <v>12.1463</v>
      </c>
      <c r="I6">
        <v>26.8917</v>
      </c>
      <c r="J6">
        <v>39.037999999999997</v>
      </c>
    </row>
    <row r="7" spans="1:10" x14ac:dyDescent="0.55000000000000004">
      <c r="A7" t="s">
        <v>35</v>
      </c>
      <c r="B7" t="s">
        <v>36</v>
      </c>
      <c r="C7" t="s">
        <v>37</v>
      </c>
      <c r="D7" t="s">
        <v>38</v>
      </c>
      <c r="E7" t="s">
        <v>39</v>
      </c>
      <c r="F7" t="s">
        <v>39</v>
      </c>
      <c r="G7">
        <v>12.151400000000001</v>
      </c>
      <c r="I7">
        <v>27.129200000000001</v>
      </c>
      <c r="J7">
        <v>39.2806</v>
      </c>
    </row>
    <row r="8" spans="1:10" x14ac:dyDescent="0.55000000000000004">
      <c r="A8" t="s">
        <v>40</v>
      </c>
      <c r="B8" t="s">
        <v>41</v>
      </c>
      <c r="C8" t="s">
        <v>42</v>
      </c>
      <c r="D8" t="s">
        <v>43</v>
      </c>
      <c r="E8" t="s">
        <v>44</v>
      </c>
      <c r="F8" t="s">
        <v>44</v>
      </c>
      <c r="G8">
        <v>11.892300000000001</v>
      </c>
      <c r="I8">
        <v>27.291699999999999</v>
      </c>
      <c r="J8">
        <v>39.183999999999997</v>
      </c>
    </row>
    <row r="9" spans="1:10" x14ac:dyDescent="0.55000000000000004">
      <c r="A9" t="s">
        <v>45</v>
      </c>
      <c r="B9" t="s">
        <v>46</v>
      </c>
      <c r="C9" t="s">
        <v>47</v>
      </c>
      <c r="D9" t="s">
        <v>48</v>
      </c>
      <c r="E9" t="s">
        <v>49</v>
      </c>
      <c r="F9" t="s">
        <v>49</v>
      </c>
      <c r="G9">
        <v>9.5655999999999999</v>
      </c>
      <c r="H9">
        <v>19.483000000000001</v>
      </c>
      <c r="I9">
        <v>4.1082999999999998</v>
      </c>
      <c r="J9">
        <v>33.1569</v>
      </c>
    </row>
    <row r="10" spans="1:10" x14ac:dyDescent="0.55000000000000004">
      <c r="A10" t="s">
        <v>50</v>
      </c>
      <c r="B10" t="s">
        <v>51</v>
      </c>
      <c r="C10" t="s">
        <v>52</v>
      </c>
      <c r="D10" t="s">
        <v>53</v>
      </c>
      <c r="E10" t="s">
        <v>54</v>
      </c>
      <c r="F10" t="s">
        <v>55</v>
      </c>
      <c r="G10">
        <v>18.582599999999999</v>
      </c>
      <c r="H10">
        <v>20.1952</v>
      </c>
      <c r="I10">
        <v>4.391</v>
      </c>
      <c r="J10">
        <v>43.168799999999997</v>
      </c>
    </row>
    <row r="11" spans="1:10" x14ac:dyDescent="0.55000000000000004">
      <c r="A11" t="s">
        <v>56</v>
      </c>
      <c r="B11" t="s">
        <v>57</v>
      </c>
      <c r="C11" t="s">
        <v>58</v>
      </c>
      <c r="D11" t="s">
        <v>59</v>
      </c>
      <c r="E11" t="s">
        <v>60</v>
      </c>
      <c r="F11" t="s">
        <v>60</v>
      </c>
      <c r="G11">
        <v>15.1562</v>
      </c>
      <c r="H11">
        <v>21.509699999999999</v>
      </c>
      <c r="I11">
        <v>2.8647999999999998</v>
      </c>
      <c r="J11">
        <v>39.530700000000003</v>
      </c>
    </row>
    <row r="12" spans="1:10" x14ac:dyDescent="0.55000000000000004">
      <c r="A12" t="s">
        <v>61</v>
      </c>
      <c r="B12" t="s">
        <v>62</v>
      </c>
      <c r="C12" t="s">
        <v>63</v>
      </c>
      <c r="D12" t="s">
        <v>64</v>
      </c>
      <c r="E12" t="s">
        <v>65</v>
      </c>
      <c r="F12" t="s">
        <v>66</v>
      </c>
      <c r="G12">
        <v>18.569900000000001</v>
      </c>
      <c r="H12">
        <v>20.878</v>
      </c>
      <c r="I12">
        <v>3.6023999999999998</v>
      </c>
      <c r="J12">
        <v>43.0503</v>
      </c>
    </row>
    <row r="13" spans="1:10" x14ac:dyDescent="0.55000000000000004">
      <c r="A13" t="s">
        <v>67</v>
      </c>
      <c r="B13" t="s">
        <v>51</v>
      </c>
      <c r="C13" t="s">
        <v>52</v>
      </c>
      <c r="D13" t="s">
        <v>68</v>
      </c>
      <c r="E13" t="s">
        <v>54</v>
      </c>
      <c r="F13" t="s">
        <v>55</v>
      </c>
      <c r="G13">
        <v>18.582599999999999</v>
      </c>
      <c r="H13">
        <v>20.1952</v>
      </c>
      <c r="I13">
        <v>4.3438999999999997</v>
      </c>
      <c r="J13">
        <v>43.121699999999997</v>
      </c>
    </row>
    <row r="14" spans="1:10" x14ac:dyDescent="0.55000000000000004">
      <c r="A14" t="s">
        <v>69</v>
      </c>
      <c r="B14" t="s">
        <v>46</v>
      </c>
      <c r="C14" t="s">
        <v>47</v>
      </c>
      <c r="D14" t="s">
        <v>70</v>
      </c>
      <c r="E14" t="s">
        <v>49</v>
      </c>
      <c r="F14" t="s">
        <v>49</v>
      </c>
      <c r="G14">
        <v>9.5655999999999999</v>
      </c>
      <c r="H14">
        <v>19.483000000000001</v>
      </c>
      <c r="I14">
        <v>5.0266999999999999</v>
      </c>
      <c r="J14">
        <v>34.075299999999999</v>
      </c>
    </row>
    <row r="15" spans="1:10" x14ac:dyDescent="0.55000000000000004">
      <c r="A15" t="s">
        <v>71</v>
      </c>
      <c r="B15" t="s">
        <v>72</v>
      </c>
      <c r="C15" t="s">
        <v>73</v>
      </c>
      <c r="D15" t="s">
        <v>74</v>
      </c>
      <c r="E15" t="s">
        <v>75</v>
      </c>
      <c r="F15" t="s">
        <v>75</v>
      </c>
      <c r="G15">
        <v>9.4284999999999997</v>
      </c>
      <c r="H15">
        <v>40.017699999999998</v>
      </c>
      <c r="I15">
        <v>2.2267000000000001</v>
      </c>
      <c r="J15">
        <v>51.672899999999998</v>
      </c>
    </row>
    <row r="16" spans="1:10" x14ac:dyDescent="0.55000000000000004">
      <c r="A16" t="s">
        <v>76</v>
      </c>
      <c r="B16" t="s">
        <v>77</v>
      </c>
      <c r="C16" t="s">
        <v>78</v>
      </c>
      <c r="D16" t="s">
        <v>79</v>
      </c>
      <c r="E16" t="s">
        <v>80</v>
      </c>
      <c r="F16" t="s">
        <v>80</v>
      </c>
      <c r="G16">
        <v>9.4463000000000008</v>
      </c>
      <c r="H16">
        <v>38.535299999999999</v>
      </c>
      <c r="I16">
        <v>2.2267000000000001</v>
      </c>
      <c r="J16">
        <v>50.208300000000001</v>
      </c>
    </row>
    <row r="17" spans="1:10" x14ac:dyDescent="0.55000000000000004">
      <c r="A17" t="s">
        <v>81</v>
      </c>
      <c r="B17" t="s">
        <v>82</v>
      </c>
      <c r="C17" t="s">
        <v>83</v>
      </c>
      <c r="D17" t="s">
        <v>84</v>
      </c>
      <c r="E17" t="s">
        <v>85</v>
      </c>
      <c r="F17" t="s">
        <v>85</v>
      </c>
      <c r="G17">
        <v>11.424899999999999</v>
      </c>
      <c r="H17">
        <v>36.740299999999998</v>
      </c>
      <c r="I17">
        <v>2.2267000000000001</v>
      </c>
      <c r="J17">
        <v>50.3919</v>
      </c>
    </row>
    <row r="18" spans="1:10" x14ac:dyDescent="0.55000000000000004">
      <c r="A18" t="s">
        <v>86</v>
      </c>
      <c r="B18" t="s">
        <v>87</v>
      </c>
      <c r="C18" t="s">
        <v>88</v>
      </c>
      <c r="D18" t="s">
        <v>89</v>
      </c>
      <c r="E18" t="s">
        <v>90</v>
      </c>
      <c r="F18" t="s">
        <v>90</v>
      </c>
      <c r="G18">
        <v>11.4148</v>
      </c>
      <c r="H18">
        <v>35.369199999999999</v>
      </c>
      <c r="I18">
        <v>2.2267000000000001</v>
      </c>
      <c r="J18">
        <v>49.0107</v>
      </c>
    </row>
    <row r="19" spans="1:10" x14ac:dyDescent="0.55000000000000004">
      <c r="A19" t="s">
        <v>91</v>
      </c>
      <c r="B19" t="s">
        <v>92</v>
      </c>
      <c r="C19" t="s">
        <v>93</v>
      </c>
      <c r="D19" t="s">
        <v>94</v>
      </c>
      <c r="E19" t="s">
        <v>95</v>
      </c>
      <c r="F19" t="s">
        <v>95</v>
      </c>
      <c r="G19">
        <v>12.5679</v>
      </c>
      <c r="H19">
        <v>33.762099999999997</v>
      </c>
      <c r="I19">
        <v>2.1023999999999998</v>
      </c>
      <c r="J19">
        <v>48.432400000000001</v>
      </c>
    </row>
    <row r="20" spans="1:10" x14ac:dyDescent="0.55000000000000004">
      <c r="A20" t="s">
        <v>96</v>
      </c>
      <c r="B20" t="s">
        <v>97</v>
      </c>
      <c r="C20" t="s">
        <v>98</v>
      </c>
      <c r="D20" t="s">
        <v>99</v>
      </c>
      <c r="E20" t="s">
        <v>100</v>
      </c>
      <c r="F20" t="s">
        <v>100</v>
      </c>
      <c r="G20">
        <v>12.5755</v>
      </c>
      <c r="H20">
        <v>32.279200000000003</v>
      </c>
      <c r="I20">
        <v>2.1023999999999998</v>
      </c>
      <c r="J20">
        <v>46.957099999999997</v>
      </c>
    </row>
    <row r="21" spans="1:10" x14ac:dyDescent="0.55000000000000004">
      <c r="A21" t="s">
        <v>101</v>
      </c>
      <c r="B21" t="s">
        <v>102</v>
      </c>
      <c r="C21" t="s">
        <v>103</v>
      </c>
      <c r="D21" t="s">
        <v>104</v>
      </c>
      <c r="E21" t="s">
        <v>105</v>
      </c>
      <c r="F21" t="s">
        <v>105</v>
      </c>
      <c r="G21">
        <v>15.1206</v>
      </c>
      <c r="H21">
        <v>30.855</v>
      </c>
      <c r="I21">
        <v>2.1023999999999998</v>
      </c>
      <c r="J21">
        <v>48.078000000000003</v>
      </c>
    </row>
    <row r="22" spans="1:10" x14ac:dyDescent="0.55000000000000004">
      <c r="A22" t="s">
        <v>106</v>
      </c>
      <c r="B22" t="s">
        <v>107</v>
      </c>
      <c r="C22" t="s">
        <v>108</v>
      </c>
      <c r="D22" t="s">
        <v>109</v>
      </c>
      <c r="E22" t="s">
        <v>110</v>
      </c>
      <c r="F22" t="s">
        <v>110</v>
      </c>
      <c r="G22">
        <v>15.1257</v>
      </c>
      <c r="H22">
        <v>29.430700000000002</v>
      </c>
      <c r="I22">
        <v>2.1023999999999998</v>
      </c>
      <c r="J22">
        <v>46.658799999999999</v>
      </c>
    </row>
    <row r="23" spans="1:10" x14ac:dyDescent="0.55000000000000004">
      <c r="A23" t="s">
        <v>111</v>
      </c>
      <c r="B23" t="s">
        <v>112</v>
      </c>
      <c r="C23" t="s">
        <v>113</v>
      </c>
      <c r="D23" t="s">
        <v>114</v>
      </c>
      <c r="E23" t="s">
        <v>115</v>
      </c>
      <c r="F23" t="s">
        <v>115</v>
      </c>
      <c r="G23">
        <v>13.886200000000001</v>
      </c>
      <c r="H23">
        <v>26.289200000000001</v>
      </c>
      <c r="I23">
        <v>2.2023999999999999</v>
      </c>
      <c r="J23">
        <v>42.377800000000001</v>
      </c>
    </row>
    <row r="24" spans="1:10" x14ac:dyDescent="0.55000000000000004">
      <c r="A24" t="s">
        <v>116</v>
      </c>
      <c r="B24" t="s">
        <v>117</v>
      </c>
      <c r="C24" t="s">
        <v>118</v>
      </c>
      <c r="D24" t="s">
        <v>119</v>
      </c>
      <c r="E24" t="s">
        <v>120</v>
      </c>
      <c r="F24" t="s">
        <v>120</v>
      </c>
      <c r="G24">
        <v>13.8735</v>
      </c>
      <c r="H24">
        <v>24.933900000000001</v>
      </c>
      <c r="I24">
        <v>2.2023999999999999</v>
      </c>
      <c r="J24">
        <v>41.009799999999998</v>
      </c>
    </row>
    <row r="25" spans="1:10" x14ac:dyDescent="0.55000000000000004">
      <c r="A25" t="s">
        <v>121</v>
      </c>
      <c r="B25" t="s">
        <v>122</v>
      </c>
      <c r="C25" t="s">
        <v>123</v>
      </c>
      <c r="D25" t="s">
        <v>124</v>
      </c>
      <c r="E25" t="s">
        <v>125</v>
      </c>
      <c r="F25" t="s">
        <v>125</v>
      </c>
      <c r="G25">
        <v>18.343900000000001</v>
      </c>
      <c r="H25">
        <v>23.063800000000001</v>
      </c>
      <c r="I25">
        <v>2.2023999999999999</v>
      </c>
      <c r="J25">
        <v>43.610100000000003</v>
      </c>
    </row>
    <row r="26" spans="1:10" x14ac:dyDescent="0.55000000000000004">
      <c r="A26" t="s">
        <v>126</v>
      </c>
      <c r="B26" t="s">
        <v>127</v>
      </c>
      <c r="C26" t="s">
        <v>128</v>
      </c>
      <c r="D26" t="s">
        <v>129</v>
      </c>
      <c r="E26" t="s">
        <v>130</v>
      </c>
      <c r="F26" t="s">
        <v>130</v>
      </c>
      <c r="G26">
        <v>18.3337</v>
      </c>
      <c r="H26">
        <v>21.6981</v>
      </c>
      <c r="I26">
        <v>2.2023999999999999</v>
      </c>
      <c r="J26">
        <v>42.234200000000001</v>
      </c>
    </row>
    <row r="27" spans="1:10" x14ac:dyDescent="0.55000000000000004">
      <c r="A27" t="s">
        <v>131</v>
      </c>
      <c r="B27" t="s">
        <v>132</v>
      </c>
      <c r="C27" t="s">
        <v>133</v>
      </c>
      <c r="D27" t="s">
        <v>134</v>
      </c>
      <c r="E27" t="s">
        <v>135</v>
      </c>
      <c r="F27" t="s">
        <v>135</v>
      </c>
      <c r="G27">
        <v>9.0907</v>
      </c>
      <c r="H27">
        <v>20.154599999999999</v>
      </c>
      <c r="I27">
        <v>2.3267000000000002</v>
      </c>
      <c r="J27">
        <v>31.571999999999999</v>
      </c>
    </row>
    <row r="28" spans="1:10" x14ac:dyDescent="0.55000000000000004">
      <c r="A28" t="s">
        <v>136</v>
      </c>
      <c r="B28" t="s">
        <v>137</v>
      </c>
      <c r="C28" t="s">
        <v>138</v>
      </c>
      <c r="D28" t="s">
        <v>139</v>
      </c>
      <c r="E28" t="s">
        <v>140</v>
      </c>
      <c r="F28" t="s">
        <v>140</v>
      </c>
      <c r="G28">
        <v>9.0779999999999994</v>
      </c>
      <c r="H28">
        <v>18.752300000000002</v>
      </c>
      <c r="I28">
        <v>2.3267000000000002</v>
      </c>
      <c r="J28">
        <v>30.157</v>
      </c>
    </row>
    <row r="29" spans="1:10" x14ac:dyDescent="0.55000000000000004">
      <c r="A29" t="s">
        <v>141</v>
      </c>
      <c r="B29" t="s">
        <v>142</v>
      </c>
      <c r="C29" t="s">
        <v>143</v>
      </c>
      <c r="D29" t="s">
        <v>144</v>
      </c>
      <c r="E29" t="s">
        <v>145</v>
      </c>
      <c r="F29" t="s">
        <v>145</v>
      </c>
      <c r="G29">
        <v>8.2371999999999996</v>
      </c>
      <c r="H29">
        <v>17.386399999999998</v>
      </c>
      <c r="I29">
        <v>2.3267000000000002</v>
      </c>
      <c r="J29">
        <v>27.950299999999999</v>
      </c>
    </row>
    <row r="30" spans="1:10" x14ac:dyDescent="0.55000000000000004">
      <c r="A30" t="s">
        <v>146</v>
      </c>
      <c r="B30" t="s">
        <v>147</v>
      </c>
      <c r="C30" t="s">
        <v>148</v>
      </c>
      <c r="D30" t="s">
        <v>149</v>
      </c>
      <c r="E30" t="s">
        <v>150</v>
      </c>
      <c r="F30" t="s">
        <v>150</v>
      </c>
      <c r="G30">
        <v>8.2219999999999995</v>
      </c>
      <c r="H30">
        <v>16.086300000000001</v>
      </c>
      <c r="I30">
        <v>2.3031999999999999</v>
      </c>
      <c r="J30">
        <v>26.611499999999999</v>
      </c>
    </row>
    <row r="31" spans="1:10" x14ac:dyDescent="0.55000000000000004">
      <c r="A31" t="s">
        <v>151</v>
      </c>
      <c r="B31" t="s">
        <v>152</v>
      </c>
      <c r="C31" t="s">
        <v>153</v>
      </c>
      <c r="D31" t="s">
        <v>154</v>
      </c>
      <c r="E31" t="s">
        <v>155</v>
      </c>
      <c r="F31" t="s">
        <v>155</v>
      </c>
      <c r="G31">
        <v>9.9441000000000006</v>
      </c>
      <c r="H31">
        <v>14.3789</v>
      </c>
      <c r="I31">
        <v>1.9696</v>
      </c>
      <c r="J31">
        <v>26.2926</v>
      </c>
    </row>
    <row r="32" spans="1:10" x14ac:dyDescent="0.55000000000000004">
      <c r="A32" t="s">
        <v>156</v>
      </c>
      <c r="B32" t="s">
        <v>157</v>
      </c>
      <c r="C32" t="s">
        <v>158</v>
      </c>
      <c r="D32" t="s">
        <v>159</v>
      </c>
      <c r="E32" t="s">
        <v>160</v>
      </c>
      <c r="F32" t="s">
        <v>160</v>
      </c>
      <c r="G32">
        <v>9.9338999999999995</v>
      </c>
      <c r="H32">
        <v>14.940300000000001</v>
      </c>
      <c r="I32">
        <v>1.9696</v>
      </c>
      <c r="J32">
        <v>26.843800000000002</v>
      </c>
    </row>
    <row r="33" spans="1:10" x14ac:dyDescent="0.55000000000000004">
      <c r="A33" t="s">
        <v>161</v>
      </c>
      <c r="B33" t="s">
        <v>162</v>
      </c>
      <c r="C33" t="s">
        <v>163</v>
      </c>
      <c r="D33" t="s">
        <v>164</v>
      </c>
      <c r="E33" t="s">
        <v>165</v>
      </c>
      <c r="F33" t="s">
        <v>165</v>
      </c>
      <c r="G33">
        <v>10.469900000000001</v>
      </c>
      <c r="H33">
        <v>15.3635</v>
      </c>
      <c r="I33">
        <v>1.9696</v>
      </c>
      <c r="J33">
        <v>27.803000000000001</v>
      </c>
    </row>
    <row r="34" spans="1:10" x14ac:dyDescent="0.55000000000000004">
      <c r="A34" t="s">
        <v>166</v>
      </c>
      <c r="B34" t="s">
        <v>167</v>
      </c>
      <c r="C34" t="s">
        <v>168</v>
      </c>
      <c r="D34" t="s">
        <v>169</v>
      </c>
      <c r="E34" t="s">
        <v>55</v>
      </c>
      <c r="F34" t="s">
        <v>55</v>
      </c>
      <c r="G34">
        <v>18.582599999999999</v>
      </c>
      <c r="H34">
        <v>15.180300000000001</v>
      </c>
      <c r="I34">
        <v>1.9696</v>
      </c>
      <c r="J34">
        <v>35.732500000000002</v>
      </c>
    </row>
    <row r="35" spans="1:10" x14ac:dyDescent="0.55000000000000004">
      <c r="A35" t="s">
        <v>170</v>
      </c>
      <c r="B35" t="s">
        <v>171</v>
      </c>
      <c r="C35" t="s">
        <v>172</v>
      </c>
      <c r="D35" t="s">
        <v>173</v>
      </c>
      <c r="E35" t="s">
        <v>66</v>
      </c>
      <c r="F35" t="s">
        <v>66</v>
      </c>
      <c r="G35">
        <v>18.569900000000001</v>
      </c>
      <c r="H35">
        <v>15.8118</v>
      </c>
      <c r="I35">
        <v>1.8452999999999999</v>
      </c>
      <c r="J35">
        <v>36.226999999999997</v>
      </c>
    </row>
    <row r="36" spans="1:10" x14ac:dyDescent="0.55000000000000004">
      <c r="A36" t="s">
        <v>174</v>
      </c>
      <c r="B36" t="s">
        <v>175</v>
      </c>
      <c r="C36" t="s">
        <v>176</v>
      </c>
      <c r="D36" t="s">
        <v>177</v>
      </c>
      <c r="E36" t="s">
        <v>178</v>
      </c>
      <c r="F36" t="s">
        <v>178</v>
      </c>
      <c r="G36">
        <v>5.2729999999999997</v>
      </c>
      <c r="H36">
        <v>16.142600000000002</v>
      </c>
      <c r="I36">
        <v>1.8452999999999999</v>
      </c>
      <c r="J36">
        <v>23.260899999999999</v>
      </c>
    </row>
    <row r="37" spans="1:10" x14ac:dyDescent="0.55000000000000004">
      <c r="A37" t="s">
        <v>179</v>
      </c>
      <c r="B37" t="s">
        <v>180</v>
      </c>
      <c r="C37" t="s">
        <v>181</v>
      </c>
      <c r="D37" t="s">
        <v>182</v>
      </c>
      <c r="E37" t="s">
        <v>183</v>
      </c>
      <c r="F37" t="s">
        <v>183</v>
      </c>
      <c r="G37">
        <v>5.2958999999999996</v>
      </c>
      <c r="H37">
        <v>16.369399999999999</v>
      </c>
      <c r="I37">
        <v>1.8452999999999999</v>
      </c>
      <c r="J37">
        <v>23.5106</v>
      </c>
    </row>
    <row r="38" spans="1:10" x14ac:dyDescent="0.55000000000000004">
      <c r="A38" t="s">
        <v>184</v>
      </c>
      <c r="B38" t="s">
        <v>185</v>
      </c>
      <c r="C38" t="s">
        <v>186</v>
      </c>
      <c r="D38" t="s">
        <v>187</v>
      </c>
      <c r="E38" t="s">
        <v>188</v>
      </c>
      <c r="F38" t="s">
        <v>188</v>
      </c>
      <c r="G38">
        <v>11.4376</v>
      </c>
      <c r="H38">
        <v>18.3858</v>
      </c>
      <c r="I38">
        <v>1.8452999999999999</v>
      </c>
      <c r="J38">
        <v>31.668700000000001</v>
      </c>
    </row>
    <row r="39" spans="1:10" x14ac:dyDescent="0.55000000000000004">
      <c r="A39" t="s">
        <v>189</v>
      </c>
      <c r="B39" t="s">
        <v>190</v>
      </c>
      <c r="C39" t="s">
        <v>191</v>
      </c>
      <c r="D39" t="s">
        <v>192</v>
      </c>
      <c r="E39" t="s">
        <v>193</v>
      </c>
      <c r="F39" t="s">
        <v>193</v>
      </c>
      <c r="G39">
        <v>11.4427</v>
      </c>
      <c r="H39">
        <v>14.641</v>
      </c>
      <c r="I39">
        <v>2.0939000000000001</v>
      </c>
      <c r="J39">
        <v>28.177600000000002</v>
      </c>
    </row>
    <row r="40" spans="1:10" x14ac:dyDescent="0.55000000000000004">
      <c r="A40" t="s">
        <v>194</v>
      </c>
      <c r="B40" t="s">
        <v>195</v>
      </c>
      <c r="C40" t="s">
        <v>196</v>
      </c>
      <c r="D40" t="s">
        <v>197</v>
      </c>
      <c r="E40" t="s">
        <v>198</v>
      </c>
      <c r="F40" t="s">
        <v>198</v>
      </c>
      <c r="G40">
        <v>5.0673000000000004</v>
      </c>
      <c r="H40">
        <v>18.5138</v>
      </c>
      <c r="I40">
        <v>2.0939000000000001</v>
      </c>
      <c r="J40">
        <v>25.675000000000001</v>
      </c>
    </row>
    <row r="41" spans="1:10" x14ac:dyDescent="0.55000000000000004">
      <c r="A41" t="s">
        <v>199</v>
      </c>
      <c r="B41" t="s">
        <v>200</v>
      </c>
      <c r="C41" t="s">
        <v>201</v>
      </c>
      <c r="D41" t="s">
        <v>202</v>
      </c>
      <c r="E41" t="s">
        <v>203</v>
      </c>
      <c r="F41" t="s">
        <v>203</v>
      </c>
      <c r="G41">
        <v>5.0749000000000004</v>
      </c>
      <c r="H41">
        <v>19.1585</v>
      </c>
      <c r="I41">
        <v>2.0939000000000001</v>
      </c>
      <c r="J41">
        <v>26.327300000000001</v>
      </c>
    </row>
    <row r="42" spans="1:10" x14ac:dyDescent="0.55000000000000004">
      <c r="A42" t="s">
        <v>204</v>
      </c>
      <c r="B42" t="s">
        <v>205</v>
      </c>
      <c r="C42" t="s">
        <v>206</v>
      </c>
      <c r="D42" t="s">
        <v>207</v>
      </c>
      <c r="E42" t="s">
        <v>208</v>
      </c>
      <c r="F42" t="s">
        <v>208</v>
      </c>
      <c r="G42">
        <v>5.5956000000000001</v>
      </c>
      <c r="H42">
        <v>19.8795</v>
      </c>
      <c r="I42">
        <v>2.0939000000000001</v>
      </c>
      <c r="J42">
        <v>27.568999999999999</v>
      </c>
    </row>
    <row r="43" spans="1:10" x14ac:dyDescent="0.55000000000000004">
      <c r="A43" t="s">
        <v>209</v>
      </c>
      <c r="B43" t="s">
        <v>210</v>
      </c>
      <c r="C43" t="s">
        <v>211</v>
      </c>
      <c r="D43" t="s">
        <v>212</v>
      </c>
      <c r="E43" t="s">
        <v>213</v>
      </c>
      <c r="F43" t="s">
        <v>213</v>
      </c>
      <c r="G43">
        <v>5.6134000000000004</v>
      </c>
      <c r="H43">
        <v>20.862300000000001</v>
      </c>
      <c r="I43">
        <v>2.2063999999999999</v>
      </c>
      <c r="J43">
        <v>28.682099999999998</v>
      </c>
    </row>
    <row r="44" spans="1:10" x14ac:dyDescent="0.55000000000000004">
      <c r="A44" t="s">
        <v>214</v>
      </c>
      <c r="B44" t="s">
        <v>215</v>
      </c>
      <c r="C44" t="s">
        <v>216</v>
      </c>
      <c r="D44" t="s">
        <v>217</v>
      </c>
      <c r="E44" t="s">
        <v>218</v>
      </c>
      <c r="F44" t="s">
        <v>218</v>
      </c>
      <c r="G44">
        <v>6.1467999999999998</v>
      </c>
      <c r="H44">
        <v>21.7209</v>
      </c>
      <c r="I44">
        <v>2.2978000000000001</v>
      </c>
      <c r="J44">
        <v>30.165500000000002</v>
      </c>
    </row>
    <row r="45" spans="1:10" x14ac:dyDescent="0.55000000000000004">
      <c r="A45" t="s">
        <v>219</v>
      </c>
      <c r="B45" t="s">
        <v>220</v>
      </c>
      <c r="C45" t="s">
        <v>221</v>
      </c>
      <c r="D45" t="s">
        <v>222</v>
      </c>
      <c r="E45" t="s">
        <v>223</v>
      </c>
      <c r="F45" t="s">
        <v>223</v>
      </c>
      <c r="G45">
        <v>10.584199999999999</v>
      </c>
      <c r="H45">
        <v>19.4724</v>
      </c>
      <c r="I45">
        <v>2.3856999999999999</v>
      </c>
      <c r="J45">
        <v>32.442300000000003</v>
      </c>
    </row>
    <row r="46" spans="1:10" x14ac:dyDescent="0.55000000000000004">
      <c r="A46" t="s">
        <v>224</v>
      </c>
      <c r="B46" t="s">
        <v>225</v>
      </c>
      <c r="C46" t="s">
        <v>226</v>
      </c>
      <c r="D46" t="s">
        <v>227</v>
      </c>
      <c r="E46" t="s">
        <v>228</v>
      </c>
      <c r="F46" t="s">
        <v>228</v>
      </c>
      <c r="G46">
        <v>15.0343</v>
      </c>
      <c r="H46">
        <v>18.737500000000001</v>
      </c>
      <c r="I46">
        <v>2.2181000000000002</v>
      </c>
      <c r="J46">
        <v>35.989899999999999</v>
      </c>
    </row>
    <row r="47" spans="1:10" x14ac:dyDescent="0.55000000000000004">
      <c r="A47" t="s">
        <v>229</v>
      </c>
      <c r="B47" t="s">
        <v>230</v>
      </c>
      <c r="C47" t="s">
        <v>231</v>
      </c>
      <c r="D47" t="s">
        <v>232</v>
      </c>
      <c r="E47" t="s">
        <v>233</v>
      </c>
      <c r="F47" t="s">
        <v>233</v>
      </c>
      <c r="G47">
        <v>11.877000000000001</v>
      </c>
      <c r="I47">
        <v>27.828399999999998</v>
      </c>
      <c r="J47">
        <v>39.705399999999997</v>
      </c>
    </row>
    <row r="48" spans="1:10" x14ac:dyDescent="0.55000000000000004">
      <c r="A48" t="s">
        <v>234</v>
      </c>
      <c r="B48" t="s">
        <v>235</v>
      </c>
      <c r="C48" t="s">
        <v>236</v>
      </c>
      <c r="D48" t="s">
        <v>237</v>
      </c>
      <c r="E48" t="s">
        <v>238</v>
      </c>
      <c r="F48" t="s">
        <v>238</v>
      </c>
      <c r="G48">
        <v>10.591799999999999</v>
      </c>
      <c r="I48">
        <v>33.643500000000003</v>
      </c>
      <c r="J48">
        <v>44.235300000000002</v>
      </c>
    </row>
    <row r="50" spans="9:10" x14ac:dyDescent="0.55000000000000004">
      <c r="I50" t="s">
        <v>239</v>
      </c>
      <c r="J50">
        <f>MIN(J2:J48)</f>
        <v>23.260899999999999</v>
      </c>
    </row>
    <row r="51" spans="9:10" x14ac:dyDescent="0.55000000000000004">
      <c r="I51" t="s">
        <v>240</v>
      </c>
      <c r="J51">
        <f>MAX(J2:J48)</f>
        <v>51.672899999999998</v>
      </c>
    </row>
    <row r="52" spans="9:10" x14ac:dyDescent="0.55000000000000004">
      <c r="I52" t="s">
        <v>241</v>
      </c>
      <c r="J52">
        <f>J51-J50</f>
        <v>28.411999999999999</v>
      </c>
    </row>
    <row r="53" spans="9:10" x14ac:dyDescent="0.55000000000000004">
      <c r="I53" t="s">
        <v>242</v>
      </c>
      <c r="J53">
        <f>AVERAGE(J2:J48)</f>
        <v>36.533053191489365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pin_assign_with_lengths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竜司 渕上</cp:lastModifiedBy>
  <dcterms:created xsi:type="dcterms:W3CDTF">2026-05-10T23:42:42Z</dcterms:created>
  <dcterms:modified xsi:type="dcterms:W3CDTF">2026-05-10T23:44:12Z</dcterms:modified>
</cp:coreProperties>
</file>
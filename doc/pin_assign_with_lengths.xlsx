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43ea309c96c6f6/Documents/Development/kicad/rtcl-tp25k-usb3/doc/"/>
    </mc:Choice>
  </mc:AlternateContent>
  <xr:revisionPtr revIDLastSave="14" documentId="8_{F21BCA61-F15D-4F52-B3A4-F51E4810FEDD}" xr6:coauthVersionLast="47" xr6:coauthVersionMax="47" xr10:uidLastSave="{6CA2BF03-85C3-4B91-9544-7C529C66C90D}"/>
  <bookViews>
    <workbookView xWindow="8880" yWindow="140" windowWidth="23990" windowHeight="20310" xr2:uid="{59BF6E31-3522-4E23-B6CC-591D6373D158}"/>
  </bookViews>
  <sheets>
    <sheet name="pin_assign_with_lengths" sheetId="1" r:id="rId1"/>
  </sheets>
  <calcPr calcId="0"/>
</workbook>
</file>

<file path=xl/calcChain.xml><?xml version="1.0" encoding="utf-8"?>
<calcChain xmlns="http://schemas.openxmlformats.org/spreadsheetml/2006/main">
  <c r="I50" i="1" l="1"/>
  <c r="I49" i="1"/>
  <c r="I48" i="1"/>
</calcChain>
</file>

<file path=xl/sharedStrings.xml><?xml version="1.0" encoding="utf-8"?>
<sst xmlns="http://schemas.openxmlformats.org/spreadsheetml/2006/main" count="237" uniqueCount="237">
  <si>
    <t>RTL</t>
  </si>
  <si>
    <t>pin</t>
  </si>
  <si>
    <t>SoMネット名</t>
  </si>
  <si>
    <t>FT601ネット名</t>
  </si>
  <si>
    <t>SoMデータシート照合キー</t>
  </si>
  <si>
    <t>SoM内配線長(mm)</t>
  </si>
  <si>
    <t>設計基板_SoM側配線長(mm)</t>
  </si>
  <si>
    <t>設計基板_FT601側配線長(mm)</t>
  </si>
  <si>
    <t>総配線長(mm)</t>
  </si>
  <si>
    <t>ft601_clk</t>
  </si>
  <si>
    <t>K5</t>
  </si>
  <si>
    <t>K5_IOT63B</t>
  </si>
  <si>
    <t>FT601_CLK</t>
  </si>
  <si>
    <t>IOT63B</t>
  </si>
  <si>
    <t>ft601_txe_n</t>
  </si>
  <si>
    <t>B10</t>
  </si>
  <si>
    <t>B10_IOL12B</t>
  </si>
  <si>
    <t>FT601_TXE</t>
  </si>
  <si>
    <t>IOL12B</t>
  </si>
  <si>
    <t>ft601_rxf_n</t>
  </si>
  <si>
    <t>K4</t>
  </si>
  <si>
    <t>K4_IOR22B_40P</t>
  </si>
  <si>
    <t>FT601_RXF</t>
  </si>
  <si>
    <t>IOR22B</t>
  </si>
  <si>
    <t>ft601_siwu_n</t>
  </si>
  <si>
    <t>J4</t>
  </si>
  <si>
    <t>J4_IOR22A_40P</t>
  </si>
  <si>
    <t>FT601_SIWU</t>
  </si>
  <si>
    <t>IOR22A</t>
  </si>
  <si>
    <t>ft601_wr_n</t>
  </si>
  <si>
    <t>K2</t>
  </si>
  <si>
    <t>K2_IOR20B_40P</t>
  </si>
  <si>
    <t>FT601_WR</t>
  </si>
  <si>
    <t>IOR20B</t>
  </si>
  <si>
    <t>ft601_rd_n</t>
  </si>
  <si>
    <t>K1</t>
  </si>
  <si>
    <t>K1_IOR20A_40P</t>
  </si>
  <si>
    <t>FT601_RD</t>
  </si>
  <si>
    <t>IOR20A</t>
  </si>
  <si>
    <t>ft601_oe_n</t>
  </si>
  <si>
    <t>L1</t>
  </si>
  <si>
    <t>L1_IOR18B_40P</t>
  </si>
  <si>
    <t>FT601_OE</t>
  </si>
  <si>
    <t>IOR18B</t>
  </si>
  <si>
    <t>ft601_gpio[0]</t>
  </si>
  <si>
    <t>G1</t>
  </si>
  <si>
    <t>G1_IOR24B_40P</t>
  </si>
  <si>
    <t>FT601_GPIO0</t>
  </si>
  <si>
    <t>IOR24B</t>
  </si>
  <si>
    <t>ft601_gpio[1]</t>
  </si>
  <si>
    <t>L4</t>
  </si>
  <si>
    <t>L4_IOR31A_40P</t>
  </si>
  <si>
    <t>FT601_GPIO1</t>
  </si>
  <si>
    <t>IOR31A</t>
  </si>
  <si>
    <t>ft601_be[0]</t>
  </si>
  <si>
    <t>D10</t>
  </si>
  <si>
    <t>D10_IOL9B</t>
  </si>
  <si>
    <t>FT601_BE0</t>
  </si>
  <si>
    <t>IOL9B</t>
  </si>
  <si>
    <t>ft601_be[1]</t>
  </si>
  <si>
    <t>C11</t>
  </si>
  <si>
    <t>C11_IOL5A</t>
  </si>
  <si>
    <t>FT601_BE1</t>
  </si>
  <si>
    <t>IOL5A</t>
  </si>
  <si>
    <t>ft601_be[2]</t>
  </si>
  <si>
    <t>C10</t>
  </si>
  <si>
    <t>C10_IOL5B</t>
  </si>
  <si>
    <t>FT601_BE2</t>
  </si>
  <si>
    <t>IOL5B</t>
  </si>
  <si>
    <t>ft601_be[3]</t>
  </si>
  <si>
    <t>B11</t>
  </si>
  <si>
    <t>B11_IOL12A</t>
  </si>
  <si>
    <t>FT601_BE3</t>
  </si>
  <si>
    <t>IOL12A</t>
  </si>
  <si>
    <t>ft601_data[0]</t>
  </si>
  <si>
    <t>L11</t>
  </si>
  <si>
    <t>L11_IOT11B</t>
  </si>
  <si>
    <t>FT601_D0</t>
  </si>
  <si>
    <t>IOT11B</t>
  </si>
  <si>
    <t>ft601_data[1]</t>
  </si>
  <si>
    <t>K11</t>
  </si>
  <si>
    <t>K11_IOT11A</t>
  </si>
  <si>
    <t>FT601_D1</t>
  </si>
  <si>
    <t>IOT11A</t>
  </si>
  <si>
    <t>ft601_data[2]</t>
  </si>
  <si>
    <t>K10</t>
  </si>
  <si>
    <t>K10_IOT15B_40P</t>
  </si>
  <si>
    <t>FT601_D2</t>
  </si>
  <si>
    <t>IOT15B</t>
  </si>
  <si>
    <t>ft601_data[3]</t>
  </si>
  <si>
    <t>L10</t>
  </si>
  <si>
    <t>L10_IOT15A_40P</t>
  </si>
  <si>
    <t>FT601_D3</t>
  </si>
  <si>
    <t>IOT15A</t>
  </si>
  <si>
    <t>ft601_data[4]</t>
  </si>
  <si>
    <t>L8</t>
  </si>
  <si>
    <t>L8_IOT19B_40P</t>
  </si>
  <si>
    <t>FT601_D4</t>
  </si>
  <si>
    <t>IOT19B</t>
  </si>
  <si>
    <t>ft601_data[5]</t>
  </si>
  <si>
    <t>L7</t>
  </si>
  <si>
    <t>L7_IOT19A_40P</t>
  </si>
  <si>
    <t>FT601_D5</t>
  </si>
  <si>
    <t>IOT19A</t>
  </si>
  <si>
    <t>ft601_data[6]</t>
  </si>
  <si>
    <t>J7</t>
  </si>
  <si>
    <t>J7_IOT21B_40P</t>
  </si>
  <si>
    <t>FT601_D6</t>
  </si>
  <si>
    <t>IOT21B</t>
  </si>
  <si>
    <t>ft601_data[7]</t>
  </si>
  <si>
    <t>K7</t>
  </si>
  <si>
    <t>K7_IOT21A_40P</t>
  </si>
  <si>
    <t>FT601_D7</t>
  </si>
  <si>
    <t>IOT21A</t>
  </si>
  <si>
    <t>ft601_data[8]</t>
  </si>
  <si>
    <t>K6</t>
  </si>
  <si>
    <t>K6_IOT23B_USB_N</t>
  </si>
  <si>
    <t>FT601_D8</t>
  </si>
  <si>
    <t>IOT23B</t>
  </si>
  <si>
    <t>ft601_data[9]</t>
  </si>
  <si>
    <t>L6</t>
  </si>
  <si>
    <t>L6_IOT23A_USB_P</t>
  </si>
  <si>
    <t>FT601_D9</t>
  </si>
  <si>
    <t>IOT23A</t>
  </si>
  <si>
    <t>ft601_data[10]</t>
  </si>
  <si>
    <t>G5</t>
  </si>
  <si>
    <t>G5_IOT72B</t>
  </si>
  <si>
    <t>FT601_D10</t>
  </si>
  <si>
    <t>IOT72B</t>
  </si>
  <si>
    <t>ft601_data[11]</t>
  </si>
  <si>
    <t>F5</t>
  </si>
  <si>
    <t>F5_IOT72A</t>
  </si>
  <si>
    <t>FT601_D11</t>
  </si>
  <si>
    <t>IOT72A</t>
  </si>
  <si>
    <t>ft601_data[12]</t>
  </si>
  <si>
    <t>G8</t>
  </si>
  <si>
    <t>G8_IOT68B</t>
  </si>
  <si>
    <t>FT601_D12</t>
  </si>
  <si>
    <t>IOT68B</t>
  </si>
  <si>
    <t>ft601_data[13]</t>
  </si>
  <si>
    <t>G7</t>
  </si>
  <si>
    <t>G7_IOT68A</t>
  </si>
  <si>
    <t>FT601_D13</t>
  </si>
  <si>
    <t>IOT68A</t>
  </si>
  <si>
    <t>ft601_data[14]</t>
  </si>
  <si>
    <t>H7</t>
  </si>
  <si>
    <t>H7_IOT66B</t>
  </si>
  <si>
    <t>FT601_D14</t>
  </si>
  <si>
    <t>IOT66B</t>
  </si>
  <si>
    <t>ft601_data[15]</t>
  </si>
  <si>
    <t>H8</t>
  </si>
  <si>
    <t>H8_IOT66A</t>
  </si>
  <si>
    <t>FT601_D15</t>
  </si>
  <si>
    <t>IOT66A</t>
  </si>
  <si>
    <t>ft601_data[16]</t>
  </si>
  <si>
    <t>H5</t>
  </si>
  <si>
    <t>H5_IOT61A</t>
  </si>
  <si>
    <t>FT601_D16</t>
  </si>
  <si>
    <t>IOT61A</t>
  </si>
  <si>
    <t>ft601_data[17]</t>
  </si>
  <si>
    <t>J5</t>
  </si>
  <si>
    <t>J5_IOT61B</t>
  </si>
  <si>
    <t>FT601_D17</t>
  </si>
  <si>
    <t>IOT61B</t>
  </si>
  <si>
    <t>ft601_data[18]</t>
  </si>
  <si>
    <t>L5</t>
  </si>
  <si>
    <t>L5_IOT63A</t>
  </si>
  <si>
    <t>FT601_D18</t>
  </si>
  <si>
    <t>IOT63A</t>
  </si>
  <si>
    <t>ft601_data[19]</t>
  </si>
  <si>
    <t>L9</t>
  </si>
  <si>
    <t>L9_IOT31A_40P</t>
  </si>
  <si>
    <t>FT601_D19</t>
  </si>
  <si>
    <t>IOT31A</t>
  </si>
  <si>
    <t>ft601_data[20]</t>
  </si>
  <si>
    <t>K9</t>
  </si>
  <si>
    <t>K9_IOT31B_40P</t>
  </si>
  <si>
    <t>FT601_D20</t>
  </si>
  <si>
    <t>IOT31B</t>
  </si>
  <si>
    <t>ft601_data[21]</t>
  </si>
  <si>
    <t>J8</t>
  </si>
  <si>
    <t>J8_IOT56A_40P</t>
  </si>
  <si>
    <t>FT601_D21</t>
  </si>
  <si>
    <t>IOT56A</t>
  </si>
  <si>
    <t>ft601_data[22]</t>
  </si>
  <si>
    <t>K8</t>
  </si>
  <si>
    <t>K8_IOT56B_40P</t>
  </si>
  <si>
    <t>FT601_D22</t>
  </si>
  <si>
    <t>IOT56B</t>
  </si>
  <si>
    <t>ft601_data[23]</t>
  </si>
  <si>
    <t>F7</t>
  </si>
  <si>
    <t>F7_IOT58A_40P</t>
  </si>
  <si>
    <t>FT601_D23</t>
  </si>
  <si>
    <t>IOT58A</t>
  </si>
  <si>
    <t>ft601_data[24]</t>
  </si>
  <si>
    <t>F6</t>
  </si>
  <si>
    <t>F6_IOT58B_40P</t>
  </si>
  <si>
    <t>FT601_D24</t>
  </si>
  <si>
    <t>IOT58B</t>
  </si>
  <si>
    <t>ft601_data[25]</t>
  </si>
  <si>
    <t>J11</t>
  </si>
  <si>
    <t>J11_IOT1A_40P</t>
  </si>
  <si>
    <t>FT601_D25</t>
  </si>
  <si>
    <t>IOT1A</t>
  </si>
  <si>
    <t>ft601_data[26]</t>
  </si>
  <si>
    <t>J10</t>
  </si>
  <si>
    <t>J10_IOT1B_40P</t>
  </si>
  <si>
    <t>FT601_D26</t>
  </si>
  <si>
    <t>IOT1B</t>
  </si>
  <si>
    <t>ft601_data[27]</t>
  </si>
  <si>
    <t>H11</t>
  </si>
  <si>
    <t>H11_IOT3A_S1</t>
  </si>
  <si>
    <t>FT601_D27</t>
  </si>
  <si>
    <t>IOT3A</t>
  </si>
  <si>
    <t>ft601_data[28]</t>
  </si>
  <si>
    <t>H10</t>
  </si>
  <si>
    <t>H10_IOT3B_S2</t>
  </si>
  <si>
    <t>FT601_D28</t>
  </si>
  <si>
    <t>IOT3B</t>
  </si>
  <si>
    <t>ft601_data[29]</t>
  </si>
  <si>
    <t>G11</t>
  </si>
  <si>
    <t>G11_IOT7A</t>
  </si>
  <si>
    <t>FT601_D29</t>
  </si>
  <si>
    <t>IOT7A</t>
  </si>
  <si>
    <t>ft601_data[30]</t>
  </si>
  <si>
    <t>G10</t>
  </si>
  <si>
    <t>G10_IOT7B</t>
  </si>
  <si>
    <t>FT601_D30</t>
  </si>
  <si>
    <t>IOT7B</t>
  </si>
  <si>
    <t>ft601_data[31]</t>
  </si>
  <si>
    <t>D11</t>
  </si>
  <si>
    <t>D11_IOL9A</t>
  </si>
  <si>
    <t>FT601_D31</t>
  </si>
  <si>
    <t>IOL9A</t>
  </si>
  <si>
    <t>min</t>
    <phoneticPr fontId="18"/>
  </si>
  <si>
    <t>max</t>
    <phoneticPr fontId="18"/>
  </si>
  <si>
    <t>diff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</si>
</sst>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"/>
    <numFmt numFmtId="180" formatCode="0.00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7852-60C0-4130-B5E1-80F911023D84}">
  <dimension ref="A1:I50"/>
  <sheetViews>
    <sheetView tabSelected="1" topLeftCell="A12" workbookViewId="0">
      <selection activeCell="L33" sqref="L33"/>
    </sheetView>
  </sheetViews>
  <sheetFormatPr defaultRowHeight="18" x14ac:dyDescent="0.55000000000000004"/>
  <cols>
    <col min="1" max="1" width="13.9140625" bestFit="1" customWidth="1"/>
    <col min="3" max="3" width="18.08203125" bestFit="1" customWidth="1"/>
    <col min="4" max="4" width="14.08203125" bestFit="1" customWidth="1"/>
    <col min="5" max="5" width="15.58203125" customWidth="1"/>
    <col min="6" max="6" width="18.4140625" customWidth="1"/>
    <col min="7" max="7" width="12.75" customWidth="1"/>
    <col min="8" max="8" width="15" customWidth="1"/>
    <col min="9" max="9" width="13.4140625" bestFit="1" customWidth="1"/>
  </cols>
  <sheetData>
    <row r="1" spans="1:9" ht="18.5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5" thickTop="1" x14ac:dyDescent="0.55000000000000004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10.475</v>
      </c>
      <c r="G2">
        <v>14.4397</v>
      </c>
      <c r="H2">
        <v>2.1604999999999999</v>
      </c>
      <c r="I2" s="2">
        <v>27.075199999999999</v>
      </c>
    </row>
    <row r="3" spans="1:9" x14ac:dyDescent="0.55000000000000004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9.2888000000000002</v>
      </c>
      <c r="G3">
        <v>49.697000000000003</v>
      </c>
      <c r="H3">
        <v>5.7567000000000004</v>
      </c>
      <c r="I3" s="2">
        <v>64.742500000000007</v>
      </c>
    </row>
    <row r="4" spans="1:9" x14ac:dyDescent="0.55000000000000004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10.9855</v>
      </c>
      <c r="G4">
        <v>18.212700000000002</v>
      </c>
      <c r="H4">
        <v>6.6879999999999997</v>
      </c>
      <c r="I4" s="2">
        <v>35.886200000000002</v>
      </c>
    </row>
    <row r="5" spans="1:9" x14ac:dyDescent="0.55000000000000004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11.0007</v>
      </c>
      <c r="H5">
        <v>26.485900000000001</v>
      </c>
      <c r="I5" s="2">
        <v>37.486600000000003</v>
      </c>
    </row>
    <row r="6" spans="1:9" x14ac:dyDescent="0.55000000000000004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12.1463</v>
      </c>
      <c r="H6">
        <v>26.802600000000002</v>
      </c>
      <c r="I6" s="2">
        <v>38.948900000000002</v>
      </c>
    </row>
    <row r="7" spans="1:9" x14ac:dyDescent="0.55000000000000004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12.151400000000001</v>
      </c>
      <c r="H7">
        <v>27.015699999999999</v>
      </c>
      <c r="I7" s="2">
        <v>39.167099999999998</v>
      </c>
    </row>
    <row r="8" spans="1:9" x14ac:dyDescent="0.55000000000000004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11.892300000000001</v>
      </c>
      <c r="H8">
        <v>27.377300000000002</v>
      </c>
      <c r="I8" s="2">
        <v>39.269599999999997</v>
      </c>
    </row>
    <row r="9" spans="1:9" x14ac:dyDescent="0.55000000000000004">
      <c r="A9" t="s">
        <v>44</v>
      </c>
      <c r="B9" t="s">
        <v>45</v>
      </c>
      <c r="C9" t="s">
        <v>46</v>
      </c>
      <c r="D9" t="s">
        <v>47</v>
      </c>
      <c r="E9" t="s">
        <v>48</v>
      </c>
      <c r="F9">
        <v>9.5655999999999999</v>
      </c>
      <c r="G9">
        <v>27.235600000000002</v>
      </c>
      <c r="H9">
        <v>4.0547000000000004</v>
      </c>
      <c r="I9" s="2">
        <v>40.855899999999998</v>
      </c>
    </row>
    <row r="10" spans="1:9" x14ac:dyDescent="0.55000000000000004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>
        <v>18.582599999999999</v>
      </c>
      <c r="G10">
        <v>29.067499999999999</v>
      </c>
      <c r="H10">
        <v>4.2667000000000002</v>
      </c>
      <c r="I10" s="2">
        <v>51.916800000000002</v>
      </c>
    </row>
    <row r="11" spans="1:9" x14ac:dyDescent="0.55000000000000004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>
        <v>7.8155999999999999</v>
      </c>
      <c r="G11">
        <v>27.5381</v>
      </c>
      <c r="H11">
        <v>2.8647999999999998</v>
      </c>
      <c r="I11" s="2">
        <v>38.218499999999999</v>
      </c>
    </row>
    <row r="12" spans="1:9" x14ac:dyDescent="0.55000000000000004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8.4303000000000008</v>
      </c>
      <c r="G12">
        <v>29.4785</v>
      </c>
      <c r="H12">
        <v>3.5438999999999998</v>
      </c>
      <c r="I12" s="2">
        <v>41.4527</v>
      </c>
    </row>
    <row r="13" spans="1:9" x14ac:dyDescent="0.55000000000000004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8.4303000000000008</v>
      </c>
      <c r="G13">
        <v>31.704899999999999</v>
      </c>
      <c r="H13">
        <v>4.2267000000000001</v>
      </c>
      <c r="I13" s="2">
        <v>44.361899999999999</v>
      </c>
    </row>
    <row r="14" spans="1:9" x14ac:dyDescent="0.55000000000000004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9.2684999999999995</v>
      </c>
      <c r="G14">
        <v>49.681699999999999</v>
      </c>
      <c r="H14">
        <v>4.9096000000000002</v>
      </c>
      <c r="I14" s="2">
        <v>63.8598</v>
      </c>
    </row>
    <row r="15" spans="1:9" x14ac:dyDescent="0.55000000000000004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>
        <v>9.4284999999999997</v>
      </c>
      <c r="G15">
        <v>39.207700000000003</v>
      </c>
      <c r="H15">
        <v>2.2267000000000001</v>
      </c>
      <c r="I15" s="2">
        <v>50.862900000000003</v>
      </c>
    </row>
    <row r="16" spans="1:9" x14ac:dyDescent="0.5500000000000000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>
        <v>9.4463000000000008</v>
      </c>
      <c r="G16">
        <v>37.901000000000003</v>
      </c>
      <c r="H16">
        <v>2.2267000000000001</v>
      </c>
      <c r="I16" s="2">
        <v>49.573999999999998</v>
      </c>
    </row>
    <row r="17" spans="1:9" x14ac:dyDescent="0.55000000000000004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>
        <v>11.424899999999999</v>
      </c>
      <c r="G17">
        <v>36.159599999999998</v>
      </c>
      <c r="H17">
        <v>2.2267000000000001</v>
      </c>
      <c r="I17" s="2">
        <v>49.811199999999999</v>
      </c>
    </row>
    <row r="18" spans="1:9" x14ac:dyDescent="0.5500000000000000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>
        <v>11.4148</v>
      </c>
      <c r="G18">
        <v>34.817700000000002</v>
      </c>
      <c r="H18">
        <v>2.2267000000000001</v>
      </c>
      <c r="I18" s="2">
        <v>48.459200000000003</v>
      </c>
    </row>
    <row r="19" spans="1:9" x14ac:dyDescent="0.55000000000000004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>
        <v>12.5679</v>
      </c>
      <c r="G19">
        <v>33.215600000000002</v>
      </c>
      <c r="H19">
        <v>2.1023999999999998</v>
      </c>
      <c r="I19" s="2">
        <v>47.885899999999999</v>
      </c>
    </row>
    <row r="20" spans="1:9" x14ac:dyDescent="0.55000000000000004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>
        <v>12.5755</v>
      </c>
      <c r="G20">
        <v>31.855</v>
      </c>
      <c r="H20">
        <v>2.1023999999999998</v>
      </c>
      <c r="I20" s="2">
        <v>46.532899999999998</v>
      </c>
    </row>
    <row r="21" spans="1:9" x14ac:dyDescent="0.55000000000000004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>
        <v>15.1206</v>
      </c>
      <c r="G21">
        <v>30.377199999999998</v>
      </c>
      <c r="H21">
        <v>2.1023999999999998</v>
      </c>
      <c r="I21" s="2">
        <v>47.600200000000001</v>
      </c>
    </row>
    <row r="22" spans="1:9" x14ac:dyDescent="0.55000000000000004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>
        <v>15.1257</v>
      </c>
      <c r="G22">
        <v>29.011500000000002</v>
      </c>
      <c r="H22">
        <v>2.1023999999999998</v>
      </c>
      <c r="I22" s="2">
        <v>46.239600000000003</v>
      </c>
    </row>
    <row r="23" spans="1:9" x14ac:dyDescent="0.55000000000000004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>
        <v>13.886200000000001</v>
      </c>
      <c r="G23">
        <v>25.6892</v>
      </c>
      <c r="H23">
        <v>2.2023999999999999</v>
      </c>
      <c r="I23" s="2">
        <v>41.777799999999999</v>
      </c>
    </row>
    <row r="24" spans="1:9" x14ac:dyDescent="0.55000000000000004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>
        <v>13.8735</v>
      </c>
      <c r="G24">
        <v>24.416599999999999</v>
      </c>
      <c r="H24">
        <v>2.2023999999999999</v>
      </c>
      <c r="I24" s="2">
        <v>40.4925</v>
      </c>
    </row>
    <row r="25" spans="1:9" x14ac:dyDescent="0.55000000000000004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>
        <v>18.343900000000001</v>
      </c>
      <c r="G25">
        <v>22.517399999999999</v>
      </c>
      <c r="H25">
        <v>2.2023999999999999</v>
      </c>
      <c r="I25" s="2">
        <v>43.063699999999997</v>
      </c>
    </row>
    <row r="26" spans="1:9" x14ac:dyDescent="0.55000000000000004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>
        <v>18.3337</v>
      </c>
      <c r="G26">
        <v>21.321899999999999</v>
      </c>
      <c r="H26">
        <v>2.2023999999999999</v>
      </c>
      <c r="I26" s="2">
        <v>41.857999999999997</v>
      </c>
    </row>
    <row r="27" spans="1:9" x14ac:dyDescent="0.55000000000000004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>
        <v>9.0907</v>
      </c>
      <c r="G27">
        <v>19.919799999999999</v>
      </c>
      <c r="H27">
        <v>2.3267000000000002</v>
      </c>
      <c r="I27" s="2">
        <v>31.337199999999999</v>
      </c>
    </row>
    <row r="28" spans="1:9" x14ac:dyDescent="0.55000000000000004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>
        <v>9.0779999999999994</v>
      </c>
      <c r="G28">
        <v>18.730399999999999</v>
      </c>
      <c r="H28">
        <v>2.3267000000000002</v>
      </c>
      <c r="I28" s="2">
        <v>30.135100000000001</v>
      </c>
    </row>
    <row r="29" spans="1:9" x14ac:dyDescent="0.55000000000000004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>
        <v>8.2371999999999996</v>
      </c>
      <c r="G29">
        <v>17.415700000000001</v>
      </c>
      <c r="H29">
        <v>2.3267000000000002</v>
      </c>
      <c r="I29" s="2">
        <v>27.979600000000001</v>
      </c>
    </row>
    <row r="30" spans="1:9" x14ac:dyDescent="0.55000000000000004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>
        <v>8.2219999999999995</v>
      </c>
      <c r="G30">
        <v>16.227799999999998</v>
      </c>
      <c r="H30">
        <v>2.3031999999999999</v>
      </c>
      <c r="I30" s="2">
        <v>26.753</v>
      </c>
    </row>
    <row r="31" spans="1:9" x14ac:dyDescent="0.55000000000000004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>
        <v>9.9441000000000006</v>
      </c>
      <c r="G31">
        <v>11.2727</v>
      </c>
      <c r="H31">
        <v>1.9696</v>
      </c>
      <c r="I31" s="2">
        <v>23.186399999999999</v>
      </c>
    </row>
    <row r="32" spans="1:9" x14ac:dyDescent="0.55000000000000004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>
        <v>9.9338999999999995</v>
      </c>
      <c r="G32">
        <v>11.891400000000001</v>
      </c>
      <c r="H32">
        <v>1.9696</v>
      </c>
      <c r="I32" s="2">
        <v>23.794899999999998</v>
      </c>
    </row>
    <row r="33" spans="1:9" x14ac:dyDescent="0.55000000000000004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>
        <v>10.469900000000001</v>
      </c>
      <c r="G33">
        <v>12.450200000000001</v>
      </c>
      <c r="H33">
        <v>1.9696</v>
      </c>
      <c r="I33" s="2">
        <v>24.889700000000001</v>
      </c>
    </row>
    <row r="34" spans="1:9" x14ac:dyDescent="0.55000000000000004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G34">
        <v>10.6732</v>
      </c>
      <c r="H34">
        <v>1.9696</v>
      </c>
      <c r="I34" s="2">
        <v>12.642799999999999</v>
      </c>
    </row>
    <row r="35" spans="1:9" x14ac:dyDescent="0.55000000000000004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G35">
        <v>11.5055</v>
      </c>
      <c r="H35">
        <v>1.8452999999999999</v>
      </c>
      <c r="I35" s="2">
        <v>13.3508</v>
      </c>
    </row>
    <row r="36" spans="1:9" x14ac:dyDescent="0.55000000000000004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>
        <v>5.2729999999999997</v>
      </c>
      <c r="G36">
        <v>12.102499999999999</v>
      </c>
      <c r="H36">
        <v>1.8452999999999999</v>
      </c>
      <c r="I36" s="2">
        <v>19.220800000000001</v>
      </c>
    </row>
    <row r="37" spans="1:9" x14ac:dyDescent="0.55000000000000004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>
        <v>5.2958999999999996</v>
      </c>
      <c r="G37">
        <v>12.784800000000001</v>
      </c>
      <c r="H37">
        <v>1.8452999999999999</v>
      </c>
      <c r="I37" s="2">
        <v>19.925999999999998</v>
      </c>
    </row>
    <row r="38" spans="1:9" x14ac:dyDescent="0.55000000000000004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>
        <v>11.4376</v>
      </c>
      <c r="G38">
        <v>13.4091</v>
      </c>
      <c r="H38">
        <v>1.8452999999999999</v>
      </c>
      <c r="I38" s="2">
        <v>24.846699999999998</v>
      </c>
    </row>
    <row r="39" spans="1:9" x14ac:dyDescent="0.55000000000000004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>
        <v>11.4427</v>
      </c>
      <c r="G39">
        <v>14.641</v>
      </c>
      <c r="H39">
        <v>2.0939000000000001</v>
      </c>
      <c r="I39" s="2">
        <v>28.177600000000002</v>
      </c>
    </row>
    <row r="40" spans="1:9" x14ac:dyDescent="0.55000000000000004">
      <c r="A40" t="s">
        <v>199</v>
      </c>
      <c r="B40" t="s">
        <v>200</v>
      </c>
      <c r="C40" t="s">
        <v>201</v>
      </c>
      <c r="D40" t="s">
        <v>202</v>
      </c>
      <c r="E40" t="s">
        <v>203</v>
      </c>
      <c r="F40">
        <v>5.0673000000000004</v>
      </c>
      <c r="G40">
        <v>18.5138</v>
      </c>
      <c r="H40">
        <v>2.0939000000000001</v>
      </c>
      <c r="I40" s="2">
        <v>25.675000000000001</v>
      </c>
    </row>
    <row r="41" spans="1:9" x14ac:dyDescent="0.55000000000000004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>
        <v>5.0749000000000004</v>
      </c>
      <c r="G41">
        <v>19.1585</v>
      </c>
      <c r="H41">
        <v>2.0939000000000001</v>
      </c>
      <c r="I41" s="2">
        <v>26.327300000000001</v>
      </c>
    </row>
    <row r="42" spans="1:9" x14ac:dyDescent="0.55000000000000004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>
        <v>5.5956000000000001</v>
      </c>
      <c r="G42">
        <v>19.8795</v>
      </c>
      <c r="H42">
        <v>2.0939000000000001</v>
      </c>
      <c r="I42" s="2">
        <v>27.568999999999999</v>
      </c>
    </row>
    <row r="43" spans="1:9" x14ac:dyDescent="0.55000000000000004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>
        <v>5.6134000000000004</v>
      </c>
      <c r="G43">
        <v>21.096699999999998</v>
      </c>
      <c r="H43">
        <v>2.2063999999999999</v>
      </c>
      <c r="I43" s="2">
        <v>28.916499999999999</v>
      </c>
    </row>
    <row r="44" spans="1:9" x14ac:dyDescent="0.55000000000000004">
      <c r="A44" t="s">
        <v>219</v>
      </c>
      <c r="B44" t="s">
        <v>220</v>
      </c>
      <c r="C44" t="s">
        <v>221</v>
      </c>
      <c r="D44" t="s">
        <v>222</v>
      </c>
      <c r="E44" t="s">
        <v>223</v>
      </c>
      <c r="F44">
        <v>6.1467999999999998</v>
      </c>
      <c r="G44">
        <v>21.7209</v>
      </c>
      <c r="H44">
        <v>2.2978000000000001</v>
      </c>
      <c r="I44" s="2">
        <v>30.165500000000002</v>
      </c>
    </row>
    <row r="45" spans="1:9" x14ac:dyDescent="0.55000000000000004">
      <c r="A45" t="s">
        <v>224</v>
      </c>
      <c r="B45" t="s">
        <v>225</v>
      </c>
      <c r="C45" t="s">
        <v>226</v>
      </c>
      <c r="D45" t="s">
        <v>227</v>
      </c>
      <c r="E45" t="s">
        <v>228</v>
      </c>
      <c r="F45">
        <v>6.157</v>
      </c>
      <c r="G45">
        <v>22.462299999999999</v>
      </c>
      <c r="H45">
        <v>2.3856999999999999</v>
      </c>
      <c r="I45" s="2">
        <v>31.004999999999999</v>
      </c>
    </row>
    <row r="46" spans="1:9" x14ac:dyDescent="0.55000000000000004">
      <c r="A46" t="s">
        <v>229</v>
      </c>
      <c r="B46" t="s">
        <v>230</v>
      </c>
      <c r="C46" t="s">
        <v>231</v>
      </c>
      <c r="D46" t="s">
        <v>232</v>
      </c>
      <c r="E46" t="s">
        <v>233</v>
      </c>
      <c r="F46">
        <v>7.7927</v>
      </c>
      <c r="G46">
        <v>23.341699999999999</v>
      </c>
      <c r="H46">
        <v>2.2181000000000002</v>
      </c>
      <c r="I46" s="2">
        <v>33.352499999999999</v>
      </c>
    </row>
    <row r="48" spans="1:9" x14ac:dyDescent="0.55000000000000004">
      <c r="H48" t="s">
        <v>234</v>
      </c>
      <c r="I48" s="3">
        <f>MIN(I2:I46)</f>
        <v>12.642799999999999</v>
      </c>
    </row>
    <row r="49" spans="8:9" x14ac:dyDescent="0.55000000000000004">
      <c r="H49" t="s">
        <v>235</v>
      </c>
      <c r="I49" s="3">
        <f>MAX(I2:I46)</f>
        <v>64.742500000000007</v>
      </c>
    </row>
    <row r="50" spans="8:9" x14ac:dyDescent="0.55000000000000004">
      <c r="H50" t="s">
        <v>236</v>
      </c>
      <c r="I50" s="3">
        <f>I49-I48</f>
        <v>52.099700000000006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pin_assign_with_lengths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竜司 渕上</cp:lastModifiedBy>
  <dcterms:created xsi:type="dcterms:W3CDTF">2026-05-10T06:54:02Z</dcterms:created>
  <dcterms:modified xsi:type="dcterms:W3CDTF">2026-05-10T06:57:09Z</dcterms:modified>
</cp:coreProperties>
</file>
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3ea309c96c6f6/Documents/Development/kicad/rtcl-tp25k-usb3/doc/"/>
    </mc:Choice>
  </mc:AlternateContent>
  <xr:revisionPtr revIDLastSave="438" documentId="13_ncr:1_{704F26EB-9FE7-473F-96D3-0C973174CAC9}" xr6:coauthVersionLast="47" xr6:coauthVersionMax="47" xr10:uidLastSave="{ADB7B041-5DDD-4923-8528-12CEDDBCC300}"/>
  <bookViews>
    <workbookView xWindow="8720" yWindow="450" windowWidth="26130" windowHeight="2031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" i="2" l="1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<sst xmlns="http://schemas.openxmlformats.org/spreadsheetml/2006/main" count="538" uniqueCount="306">
  <si>
    <t>ft601_gpio[0]</t>
    <phoneticPr fontId="1"/>
  </si>
  <si>
    <t>ft601_be[0]</t>
    <phoneticPr fontId="1"/>
  </si>
  <si>
    <t>ft601_be[1]</t>
  </si>
  <si>
    <t>ft601_be[2]</t>
  </si>
  <si>
    <t>ft601_be[3]</t>
  </si>
  <si>
    <t>ft601_data[0]</t>
    <phoneticPr fontId="1"/>
  </si>
  <si>
    <t>ft601_data[1]</t>
  </si>
  <si>
    <t>ft601_data[2]</t>
  </si>
  <si>
    <t>ft601_data[3]</t>
  </si>
  <si>
    <t>ft601_data[4]</t>
  </si>
  <si>
    <t>ft601_data[5]</t>
  </si>
  <si>
    <t>ft601_data[6]</t>
  </si>
  <si>
    <t>ft601_data[7]</t>
  </si>
  <si>
    <t>ft601_data[8]</t>
  </si>
  <si>
    <t>ft601_data[9]</t>
  </si>
  <si>
    <t>ft601_data[10]</t>
  </si>
  <si>
    <t>ft601_data[11]</t>
  </si>
  <si>
    <t>ft601_data[12]</t>
  </si>
  <si>
    <t>ft601_data[13]</t>
  </si>
  <si>
    <t>ft601_data[14]</t>
  </si>
  <si>
    <t>ft601_data[15]</t>
  </si>
  <si>
    <t>ft601_data[16]</t>
  </si>
  <si>
    <t>ft601_data[17]</t>
  </si>
  <si>
    <t>ft601_data[18]</t>
  </si>
  <si>
    <t>ft601_data[19]</t>
  </si>
  <si>
    <t>ft601_data[20]</t>
  </si>
  <si>
    <t>ft601_data[21]</t>
  </si>
  <si>
    <t>ft601_data[22]</t>
  </si>
  <si>
    <t>ft601_data[23]</t>
  </si>
  <si>
    <t>ft601_data[24]</t>
  </si>
  <si>
    <t>ft601_data[25]</t>
  </si>
  <si>
    <t>ft601_data[26]</t>
  </si>
  <si>
    <t>ft601_data[27]</t>
  </si>
  <si>
    <t>ft601_data[28]</t>
  </si>
  <si>
    <t>ft601_data[29]</t>
  </si>
  <si>
    <t>ft601_data[30]</t>
  </si>
  <si>
    <t>ft601_data[31]</t>
  </si>
  <si>
    <t>D10_IOL9B</t>
  </si>
  <si>
    <t>C11_IOL5A</t>
  </si>
  <si>
    <t>C10_IOL5B</t>
  </si>
  <si>
    <t>B11_IOL12A</t>
  </si>
  <si>
    <t>B10_IOL12B</t>
  </si>
  <si>
    <t>K4_IOR22B_40P</t>
  </si>
  <si>
    <t>J4_IOR22A_40P</t>
  </si>
  <si>
    <t>K2_IOR20B_40P</t>
  </si>
  <si>
    <t>K1_IOR20A_40P</t>
  </si>
  <si>
    <t>L1_IOR18B_40P</t>
  </si>
  <si>
    <t>G1_IOR24B_40P</t>
  </si>
  <si>
    <t>L4_IOR31A_40P</t>
  </si>
  <si>
    <t>L11_IOT11B</t>
  </si>
  <si>
    <t>K11_IOT11A</t>
  </si>
  <si>
    <t>K10_IOT15B_40P</t>
  </si>
  <si>
    <t>L10_IOT15A_40P</t>
  </si>
  <si>
    <t>L8_IOT19B_40P</t>
  </si>
  <si>
    <t>L7_IOT19A_40P</t>
  </si>
  <si>
    <t>J7_IOT21B_40P</t>
  </si>
  <si>
    <t>K7_IOT21A_40P</t>
  </si>
  <si>
    <t>K6_IOT23B_USB_N</t>
  </si>
  <si>
    <t>L6_IOT23A_USB_P</t>
  </si>
  <si>
    <t>G5_IOT72B</t>
  </si>
  <si>
    <t>F5_IOT72A</t>
  </si>
  <si>
    <t>G8_IOT68B</t>
  </si>
  <si>
    <t>G7_IOT68A</t>
  </si>
  <si>
    <t>H7_IOT66B</t>
  </si>
  <si>
    <t>H8_IOT66A</t>
  </si>
  <si>
    <t>K5_IOT63B</t>
  </si>
  <si>
    <t>H5_IOT61A</t>
  </si>
  <si>
    <t>J5_IOT61B</t>
  </si>
  <si>
    <t>L5_IOT63A</t>
  </si>
  <si>
    <t>L9_IOT31A_40P</t>
  </si>
  <si>
    <t>K9_IOT31B_40P</t>
  </si>
  <si>
    <t>J8_IOT56A_40P</t>
  </si>
  <si>
    <t>K8_IOT56B_40P</t>
  </si>
  <si>
    <t>F7_IOT58A_40P</t>
  </si>
  <si>
    <t>F6_IOT58B_40P</t>
  </si>
  <si>
    <t>J11_IOT1A_40P</t>
  </si>
  <si>
    <t>J10_IOT1B_40P</t>
  </si>
  <si>
    <t>H11_IOT3A_S1</t>
  </si>
  <si>
    <t>H10_IOT3B_S2</t>
  </si>
  <si>
    <t>G11_IOT7A</t>
  </si>
  <si>
    <t>G10_IOT7B</t>
  </si>
  <si>
    <t>D11_IOL9A</t>
  </si>
  <si>
    <t>RTL</t>
    <phoneticPr fontId="1"/>
  </si>
  <si>
    <t>pin</t>
    <phoneticPr fontId="1"/>
  </si>
  <si>
    <t>K5</t>
    <phoneticPr fontId="1"/>
  </si>
  <si>
    <t>K4</t>
    <phoneticPr fontId="1"/>
  </si>
  <si>
    <t>J4</t>
    <phoneticPr fontId="1"/>
  </si>
  <si>
    <t>K2</t>
    <phoneticPr fontId="1"/>
  </si>
  <si>
    <t>K1</t>
    <phoneticPr fontId="1"/>
  </si>
  <si>
    <t>L1</t>
    <phoneticPr fontId="1"/>
  </si>
  <si>
    <t>G1</t>
    <phoneticPr fontId="1"/>
  </si>
  <si>
    <t>L4</t>
    <phoneticPr fontId="1"/>
  </si>
  <si>
    <t>L11</t>
    <phoneticPr fontId="1"/>
  </si>
  <si>
    <t>K11</t>
    <phoneticPr fontId="1"/>
  </si>
  <si>
    <t>K10</t>
    <phoneticPr fontId="1"/>
  </si>
  <si>
    <t>L10</t>
    <phoneticPr fontId="1"/>
  </si>
  <si>
    <t>L8</t>
    <phoneticPr fontId="1"/>
  </si>
  <si>
    <t>L7</t>
    <phoneticPr fontId="1"/>
  </si>
  <si>
    <t>J7</t>
    <phoneticPr fontId="1"/>
  </si>
  <si>
    <t>K7</t>
    <phoneticPr fontId="1"/>
  </si>
  <si>
    <t>K6</t>
    <phoneticPr fontId="1"/>
  </si>
  <si>
    <t>L6</t>
    <phoneticPr fontId="1"/>
  </si>
  <si>
    <t>G5</t>
    <phoneticPr fontId="1"/>
  </si>
  <si>
    <t>F5</t>
    <phoneticPr fontId="1"/>
  </si>
  <si>
    <t>G8</t>
    <phoneticPr fontId="1"/>
  </si>
  <si>
    <t>G7</t>
    <phoneticPr fontId="1"/>
  </si>
  <si>
    <t>H7</t>
    <phoneticPr fontId="1"/>
  </si>
  <si>
    <t>H8</t>
    <phoneticPr fontId="1"/>
  </si>
  <si>
    <t>H5</t>
    <phoneticPr fontId="1"/>
  </si>
  <si>
    <t>J5</t>
    <phoneticPr fontId="1"/>
  </si>
  <si>
    <t>L5</t>
    <phoneticPr fontId="1"/>
  </si>
  <si>
    <t>L9</t>
    <phoneticPr fontId="1"/>
  </si>
  <si>
    <t>K9</t>
    <phoneticPr fontId="1"/>
  </si>
  <si>
    <t>J8</t>
    <phoneticPr fontId="1"/>
  </si>
  <si>
    <t>K8</t>
    <phoneticPr fontId="1"/>
  </si>
  <si>
    <t>F7</t>
    <phoneticPr fontId="1"/>
  </si>
  <si>
    <t>F6</t>
    <phoneticPr fontId="1"/>
  </si>
  <si>
    <t>J11</t>
    <phoneticPr fontId="1"/>
  </si>
  <si>
    <t>J10</t>
    <phoneticPr fontId="1"/>
  </si>
  <si>
    <t>H11</t>
    <phoneticPr fontId="1"/>
  </si>
  <si>
    <t>H10</t>
    <phoneticPr fontId="1"/>
  </si>
  <si>
    <t>G11</t>
    <phoneticPr fontId="1"/>
  </si>
  <si>
    <t>SoMネット名</t>
    <rPh sb="6" eb="7">
      <t>メイ</t>
    </rPh>
    <phoneticPr fontId="1"/>
  </si>
  <si>
    <t>FT601ネット名</t>
    <rPh sb="8" eb="9">
      <t>メイ</t>
    </rPh>
    <phoneticPr fontId="1"/>
  </si>
  <si>
    <t>FT601_BE0</t>
  </si>
  <si>
    <t>FT601_BE1</t>
  </si>
  <si>
    <t>FT601_BE2</t>
  </si>
  <si>
    <t>FT601_BE3</t>
  </si>
  <si>
    <t>FT601_D0</t>
  </si>
  <si>
    <t>FT601_D1</t>
  </si>
  <si>
    <t>FT601_D2</t>
  </si>
  <si>
    <t>FT601_D3</t>
  </si>
  <si>
    <t>FT601_D4</t>
  </si>
  <si>
    <t>FT601_D5</t>
  </si>
  <si>
    <t>FT601_D6</t>
  </si>
  <si>
    <t>FT601_D7</t>
  </si>
  <si>
    <t>FT601_D8</t>
  </si>
  <si>
    <t>FT601_D9</t>
  </si>
  <si>
    <t>FT601_D10</t>
  </si>
  <si>
    <t>FT601_D11</t>
  </si>
  <si>
    <t>FT601_D12</t>
  </si>
  <si>
    <t>FT601_D13</t>
  </si>
  <si>
    <t>FT601_D14</t>
  </si>
  <si>
    <t>FT601_D15</t>
  </si>
  <si>
    <t>FT601_D16</t>
  </si>
  <si>
    <t>FT601_D17</t>
  </si>
  <si>
    <t>FT601_D18</t>
  </si>
  <si>
    <t>FT601_D19</t>
  </si>
  <si>
    <t>FT601_D20</t>
  </si>
  <si>
    <t>FT601_D21</t>
  </si>
  <si>
    <t>FT601_D22</t>
  </si>
  <si>
    <t>FT601_D23</t>
  </si>
  <si>
    <t>FT601_D24</t>
  </si>
  <si>
    <t>FT601_D25</t>
  </si>
  <si>
    <t>FT601_D26</t>
  </si>
  <si>
    <t>FT601_D27</t>
  </si>
  <si>
    <t>FT601_D28</t>
  </si>
  <si>
    <t>FT601_D29</t>
  </si>
  <si>
    <t>FT601_D30</t>
  </si>
  <si>
    <t>FT601_D31</t>
  </si>
  <si>
    <t>FT601_TXE</t>
    <phoneticPr fontId="1"/>
  </si>
  <si>
    <t>FT601_SIWU</t>
  </si>
  <si>
    <t>FT601_RXF</t>
    <phoneticPr fontId="1"/>
  </si>
  <si>
    <t>FT601_WR</t>
    <phoneticPr fontId="1"/>
  </si>
  <si>
    <t>FT601_RD</t>
    <phoneticPr fontId="1"/>
  </si>
  <si>
    <t>FT601_OE</t>
    <phoneticPr fontId="1"/>
  </si>
  <si>
    <t>FT601_GPIO0</t>
    <phoneticPr fontId="1"/>
  </si>
  <si>
    <t>FT601_GPIO1</t>
    <phoneticPr fontId="1"/>
  </si>
  <si>
    <t>FT601_CLK</t>
    <phoneticPr fontId="1"/>
  </si>
  <si>
    <t>ft601_clk</t>
    <phoneticPr fontId="1"/>
  </si>
  <si>
    <t>ft601_txe_n</t>
    <phoneticPr fontId="1"/>
  </si>
  <si>
    <t>ft601_rxf_n</t>
    <phoneticPr fontId="1"/>
  </si>
  <si>
    <t>ft601_siwu_n</t>
    <phoneticPr fontId="1"/>
  </si>
  <si>
    <t>ft601_wr_n</t>
    <phoneticPr fontId="1"/>
  </si>
  <si>
    <t>ft601_rd_n</t>
    <phoneticPr fontId="1"/>
  </si>
  <si>
    <t>ft601_oe_n</t>
    <phoneticPr fontId="1"/>
  </si>
  <si>
    <t>ft601_gpio[1]</t>
    <phoneticPr fontId="1"/>
  </si>
  <si>
    <t>conn</t>
    <phoneticPr fontId="1"/>
  </si>
  <si>
    <t>J3</t>
    <phoneticPr fontId="1"/>
  </si>
  <si>
    <t>VCCIO0_1</t>
  </si>
  <si>
    <t>GND</t>
    <phoneticPr fontId="1"/>
  </si>
  <si>
    <t>GCLK</t>
    <phoneticPr fontId="1"/>
  </si>
  <si>
    <t>E11_IOL3A</t>
  </si>
  <si>
    <t>E10_IOL3B</t>
  </si>
  <si>
    <t>A11_IOL14A</t>
  </si>
  <si>
    <t>A10_IOL14B</t>
  </si>
  <si>
    <t>E8_READY</t>
  </si>
  <si>
    <t>B3_IOB56A_UART_RX</t>
  </si>
  <si>
    <t>C3_IOB56B_UART_TX</t>
  </si>
  <si>
    <t>E3_IOB60A_40P</t>
  </si>
  <si>
    <t>D7_DONE</t>
  </si>
  <si>
    <t>VCCIO6_7</t>
  </si>
  <si>
    <t>H5</t>
  </si>
  <si>
    <t>J5</t>
  </si>
  <si>
    <t>L5</t>
  </si>
  <si>
    <t>K5</t>
  </si>
  <si>
    <t>H8</t>
  </si>
  <si>
    <t>H7</t>
  </si>
  <si>
    <t>G7</t>
  </si>
  <si>
    <t>G8</t>
  </si>
  <si>
    <t>F5</t>
  </si>
  <si>
    <t>G5</t>
  </si>
  <si>
    <t>K11</t>
  </si>
  <si>
    <t>L11</t>
  </si>
  <si>
    <t>E11</t>
  </si>
  <si>
    <t>E10</t>
  </si>
  <si>
    <t>A10</t>
  </si>
  <si>
    <t>E8</t>
  </si>
  <si>
    <t>D7</t>
  </si>
  <si>
    <t>L6</t>
  </si>
  <si>
    <t>B3</t>
  </si>
  <si>
    <t>C3</t>
  </si>
  <si>
    <t>E3</t>
  </si>
  <si>
    <t>K6</t>
  </si>
  <si>
    <t>K7</t>
  </si>
  <si>
    <t>J7</t>
  </si>
  <si>
    <t>L7</t>
  </si>
  <si>
    <t>L8</t>
  </si>
  <si>
    <t>L10</t>
  </si>
  <si>
    <t>K10</t>
  </si>
  <si>
    <t>L9</t>
  </si>
  <si>
    <t>K9</t>
  </si>
  <si>
    <t>J8</t>
  </si>
  <si>
    <t>K8</t>
  </si>
  <si>
    <t>F7</t>
  </si>
  <si>
    <t>F6</t>
  </si>
  <si>
    <t>J11</t>
  </si>
  <si>
    <t>J10</t>
  </si>
  <si>
    <t>H11</t>
  </si>
  <si>
    <t>H10</t>
  </si>
  <si>
    <t>G11</t>
  </si>
  <si>
    <t>G10</t>
  </si>
  <si>
    <t>D11</t>
  </si>
  <si>
    <t>D10</t>
  </si>
  <si>
    <t>C11</t>
  </si>
  <si>
    <t>C10</t>
  </si>
  <si>
    <t>B11</t>
  </si>
  <si>
    <t>B10</t>
  </si>
  <si>
    <t>FPGA</t>
    <phoneticPr fontId="1"/>
  </si>
  <si>
    <t>NAME</t>
    <phoneticPr fontId="1"/>
  </si>
  <si>
    <t>bank</t>
    <phoneticPr fontId="1"/>
  </si>
  <si>
    <t>attr</t>
    <phoneticPr fontId="1"/>
  </si>
  <si>
    <t>Voltage</t>
    <phoneticPr fontId="1"/>
  </si>
  <si>
    <t>A11</t>
    <phoneticPr fontId="1"/>
  </si>
  <si>
    <t>VCCIO2_3</t>
  </si>
  <si>
    <t>L2_IOR18A_40P</t>
  </si>
  <si>
    <t>G2_IOR24A_40P</t>
  </si>
  <si>
    <t>L3_IOR31B_40P</t>
  </si>
  <si>
    <t>J1_IOR33A_40P</t>
  </si>
  <si>
    <t>J2_IOR33B_40P</t>
  </si>
  <si>
    <t>G4_IOB89A_40P</t>
  </si>
  <si>
    <t>H4_IOB89B_40P</t>
  </si>
  <si>
    <t>H1_IOB91A_40P</t>
  </si>
  <si>
    <t>H2_IOB91B_40P</t>
  </si>
  <si>
    <t>1.8V</t>
    <phoneticPr fontId="1"/>
  </si>
  <si>
    <t>2.5V</t>
    <phoneticPr fontId="1"/>
  </si>
  <si>
    <t>3.3V</t>
    <phoneticPr fontId="1"/>
  </si>
  <si>
    <t>5V</t>
    <phoneticPr fontId="1"/>
  </si>
  <si>
    <t>L2</t>
    <phoneticPr fontId="1"/>
  </si>
  <si>
    <t>G2</t>
    <phoneticPr fontId="1"/>
  </si>
  <si>
    <t>L3</t>
    <phoneticPr fontId="1"/>
  </si>
  <si>
    <t>J1</t>
    <phoneticPr fontId="1"/>
  </si>
  <si>
    <t>J2</t>
    <phoneticPr fontId="1"/>
  </si>
  <si>
    <t>G4</t>
    <phoneticPr fontId="1"/>
  </si>
  <si>
    <t>H4</t>
    <phoneticPr fontId="1"/>
  </si>
  <si>
    <t>H1</t>
    <phoneticPr fontId="1"/>
  </si>
  <si>
    <t>H2</t>
    <phoneticPr fontId="1"/>
  </si>
  <si>
    <t>B2_IOB4A_40P</t>
  </si>
  <si>
    <t>C2_IOB4B_40P</t>
  </si>
  <si>
    <t>F2_IOB26A_40P</t>
  </si>
  <si>
    <t>F1_IOB26B_40P</t>
  </si>
  <si>
    <t>A1_IOB24A_40P</t>
  </si>
  <si>
    <t>D8_RECONFIG</t>
  </si>
  <si>
    <t>E1_IOB12B_40P</t>
  </si>
  <si>
    <t>D1_IOB14B_40P</t>
  </si>
  <si>
    <t>B2</t>
    <phoneticPr fontId="1"/>
  </si>
  <si>
    <t>C2</t>
    <phoneticPr fontId="1"/>
  </si>
  <si>
    <t>F2</t>
    <phoneticPr fontId="1"/>
  </si>
  <si>
    <t>F1</t>
    <phoneticPr fontId="1"/>
  </si>
  <si>
    <t>A1</t>
    <phoneticPr fontId="1"/>
  </si>
  <si>
    <t>D8</t>
    <phoneticPr fontId="1"/>
  </si>
  <si>
    <t>E1</t>
    <phoneticPr fontId="1"/>
  </si>
  <si>
    <t>D1</t>
    <phoneticPr fontId="1"/>
  </si>
  <si>
    <t>RPLL</t>
    <phoneticPr fontId="1"/>
  </si>
  <si>
    <t>C1_JTAG_TCK</t>
  </si>
  <si>
    <t>B1_JTAG_TMS</t>
  </si>
  <si>
    <t>A2_JTAG_TDO</t>
  </si>
  <si>
    <t>A3_JTAG_TDI</t>
  </si>
  <si>
    <t>M0_D3_P</t>
    <phoneticPr fontId="1"/>
  </si>
  <si>
    <t>M0_D3_N</t>
    <phoneticPr fontId="1"/>
  </si>
  <si>
    <t>M0_D2_P</t>
    <phoneticPr fontId="1"/>
  </si>
  <si>
    <t>M0_D2_N</t>
    <phoneticPr fontId="1"/>
  </si>
  <si>
    <t>M0_CK_P</t>
    <phoneticPr fontId="1"/>
  </si>
  <si>
    <t>M0_CK_N</t>
    <phoneticPr fontId="1"/>
  </si>
  <si>
    <t>M0_D1_P</t>
    <phoneticPr fontId="1"/>
  </si>
  <si>
    <t>M0_D1_N</t>
    <phoneticPr fontId="1"/>
  </si>
  <si>
    <t>M0_D0_P</t>
    <phoneticPr fontId="1"/>
  </si>
  <si>
    <t>M0_D0_N</t>
    <phoneticPr fontId="1"/>
  </si>
  <si>
    <t>C1</t>
    <phoneticPr fontId="1"/>
  </si>
  <si>
    <t>B1</t>
    <phoneticPr fontId="1"/>
  </si>
  <si>
    <t>A2</t>
    <phoneticPr fontId="1"/>
  </si>
  <si>
    <t>A3</t>
    <phoneticPr fontId="1"/>
  </si>
  <si>
    <t>ft601_reset_n</t>
    <phoneticPr fontId="1"/>
  </si>
  <si>
    <t>ft601_wakeup</t>
    <phoneticPr fontId="1"/>
  </si>
  <si>
    <t>FT601_RESET</t>
  </si>
  <si>
    <t>FT601_WAKEUP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</si>
</sst>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topLeftCell="A9" workbookViewId="0">
      <selection activeCell="B1" sqref="B1"/>
    </sheetView>
  </sheetViews>
  <sheetFormatPr defaultRowHeight="18"/>
  <cols>
    <col min="1" max="2" width="15.1640625" customWidth="1"/>
    <col min="3" max="3" width="22" customWidth="1"/>
    <col min="4" max="4" width="19.75" customWidth="1"/>
  </cols>
  <sheetData>
    <row r="1" spans="1:4" ht="18.5" thickBot="1">
      <c r="A1" s="1" t="s">
        <v>82</v>
      </c>
      <c r="B1" s="1" t="s">
        <v>83</v>
      </c>
      <c r="C1" s="1" t="s">
        <v>122</v>
      </c>
      <c r="D1" s="1" t="s">
        <v>123</v>
      </c>
    </row>
    <row r="2" spans="1:4" ht="18.5" thickTop="1">
      <c r="A2" t="s">
        <v>169</v>
      </c>
      <c r="B2" t="s">
        <v>84</v>
      </c>
      <c r="C2" t="s">
        <v>65</v>
      </c>
      <c r="D2" t="s">
        <v>168</v>
      </c>
    </row>
    <row r="3" spans="1:4">
      <c r="A3" t="s">
        <v>170</v>
      </c>
      <c r="B3" t="s">
        <v>259</v>
      </c>
      <c r="C3" t="s">
        <v>246</v>
      </c>
      <c r="D3" t="s">
        <v>160</v>
      </c>
    </row>
    <row r="4" spans="1:4">
      <c r="A4" t="s">
        <v>171</v>
      </c>
      <c r="B4" t="s">
        <v>85</v>
      </c>
      <c r="C4" t="s">
        <v>42</v>
      </c>
      <c r="D4" t="s">
        <v>162</v>
      </c>
    </row>
    <row r="5" spans="1:4">
      <c r="A5" t="s">
        <v>172</v>
      </c>
      <c r="B5" t="s">
        <v>86</v>
      </c>
      <c r="C5" t="s">
        <v>43</v>
      </c>
      <c r="D5" t="s">
        <v>161</v>
      </c>
    </row>
    <row r="6" spans="1:4">
      <c r="A6" t="s">
        <v>173</v>
      </c>
      <c r="B6" t="s">
        <v>87</v>
      </c>
      <c r="C6" t="s">
        <v>44</v>
      </c>
      <c r="D6" t="s">
        <v>163</v>
      </c>
    </row>
    <row r="7" spans="1:4">
      <c r="A7" t="s">
        <v>174</v>
      </c>
      <c r="B7" t="s">
        <v>88</v>
      </c>
      <c r="C7" t="s">
        <v>45</v>
      </c>
      <c r="D7" t="s">
        <v>164</v>
      </c>
    </row>
    <row r="8" spans="1:4">
      <c r="A8" t="s">
        <v>175</v>
      </c>
      <c r="B8" t="s">
        <v>89</v>
      </c>
      <c r="C8" t="s">
        <v>46</v>
      </c>
      <c r="D8" t="s">
        <v>165</v>
      </c>
    </row>
    <row r="9" spans="1:4">
      <c r="A9" t="s">
        <v>0</v>
      </c>
      <c r="B9" t="s">
        <v>90</v>
      </c>
      <c r="C9" t="s">
        <v>47</v>
      </c>
      <c r="D9" t="s">
        <v>166</v>
      </c>
    </row>
    <row r="10" spans="1:4">
      <c r="A10" t="s">
        <v>176</v>
      </c>
      <c r="B10" t="s">
        <v>91</v>
      </c>
      <c r="C10" t="s">
        <v>48</v>
      </c>
      <c r="D10" t="s">
        <v>167</v>
      </c>
    </row>
    <row r="11" spans="1:4">
      <c r="A11" t="s">
        <v>1</v>
      </c>
      <c r="B11" t="s">
        <v>261</v>
      </c>
      <c r="C11" t="s">
        <v>248</v>
      </c>
      <c r="D11" t="s">
        <v>124</v>
      </c>
    </row>
    <row r="12" spans="1:4">
      <c r="A12" t="s">
        <v>2</v>
      </c>
      <c r="B12" t="s">
        <v>260</v>
      </c>
      <c r="C12" t="s">
        <v>247</v>
      </c>
      <c r="D12" t="s">
        <v>125</v>
      </c>
    </row>
    <row r="13" spans="1:4">
      <c r="A13" t="s">
        <v>3</v>
      </c>
      <c r="B13" t="s">
        <v>91</v>
      </c>
      <c r="C13" t="s">
        <v>48</v>
      </c>
      <c r="D13" t="s">
        <v>126</v>
      </c>
    </row>
    <row r="14" spans="1:4">
      <c r="A14" t="s">
        <v>4</v>
      </c>
      <c r="B14" t="s">
        <v>90</v>
      </c>
      <c r="C14" t="s">
        <v>47</v>
      </c>
      <c r="D14" t="s">
        <v>127</v>
      </c>
    </row>
    <row r="15" spans="1:4">
      <c r="A15" t="s">
        <v>5</v>
      </c>
      <c r="B15" t="s">
        <v>92</v>
      </c>
      <c r="C15" t="s">
        <v>49</v>
      </c>
      <c r="D15" t="s">
        <v>128</v>
      </c>
    </row>
    <row r="16" spans="1:4">
      <c r="A16" t="s">
        <v>6</v>
      </c>
      <c r="B16" t="s">
        <v>93</v>
      </c>
      <c r="C16" t="s">
        <v>50</v>
      </c>
      <c r="D16" t="s">
        <v>129</v>
      </c>
    </row>
    <row r="17" spans="1:4">
      <c r="A17" t="s">
        <v>7</v>
      </c>
      <c r="B17" t="s">
        <v>94</v>
      </c>
      <c r="C17" t="s">
        <v>51</v>
      </c>
      <c r="D17" t="s">
        <v>130</v>
      </c>
    </row>
    <row r="18" spans="1:4">
      <c r="A18" t="s">
        <v>8</v>
      </c>
      <c r="B18" t="s">
        <v>95</v>
      </c>
      <c r="C18" t="s">
        <v>52</v>
      </c>
      <c r="D18" t="s">
        <v>131</v>
      </c>
    </row>
    <row r="19" spans="1:4">
      <c r="A19" t="s">
        <v>9</v>
      </c>
      <c r="B19" t="s">
        <v>96</v>
      </c>
      <c r="C19" t="s">
        <v>53</v>
      </c>
      <c r="D19" t="s">
        <v>132</v>
      </c>
    </row>
    <row r="20" spans="1:4">
      <c r="A20" t="s">
        <v>10</v>
      </c>
      <c r="B20" t="s">
        <v>97</v>
      </c>
      <c r="C20" t="s">
        <v>54</v>
      </c>
      <c r="D20" t="s">
        <v>133</v>
      </c>
    </row>
    <row r="21" spans="1:4">
      <c r="A21" t="s">
        <v>11</v>
      </c>
      <c r="B21" t="s">
        <v>98</v>
      </c>
      <c r="C21" t="s">
        <v>55</v>
      </c>
      <c r="D21" t="s">
        <v>134</v>
      </c>
    </row>
    <row r="22" spans="1:4">
      <c r="A22" t="s">
        <v>12</v>
      </c>
      <c r="B22" t="s">
        <v>99</v>
      </c>
      <c r="C22" t="s">
        <v>56</v>
      </c>
      <c r="D22" t="s">
        <v>135</v>
      </c>
    </row>
    <row r="23" spans="1:4">
      <c r="A23" t="s">
        <v>13</v>
      </c>
      <c r="B23" t="s">
        <v>100</v>
      </c>
      <c r="C23" t="s">
        <v>57</v>
      </c>
      <c r="D23" t="s">
        <v>136</v>
      </c>
    </row>
    <row r="24" spans="1:4">
      <c r="A24" t="s">
        <v>14</v>
      </c>
      <c r="B24" t="s">
        <v>101</v>
      </c>
      <c r="C24" t="s">
        <v>58</v>
      </c>
      <c r="D24" t="s">
        <v>137</v>
      </c>
    </row>
    <row r="25" spans="1:4">
      <c r="A25" t="s">
        <v>15</v>
      </c>
      <c r="B25" t="s">
        <v>102</v>
      </c>
      <c r="C25" t="s">
        <v>59</v>
      </c>
      <c r="D25" t="s">
        <v>138</v>
      </c>
    </row>
    <row r="26" spans="1:4">
      <c r="A26" t="s">
        <v>16</v>
      </c>
      <c r="B26" t="s">
        <v>103</v>
      </c>
      <c r="C26" t="s">
        <v>60</v>
      </c>
      <c r="D26" t="s">
        <v>139</v>
      </c>
    </row>
    <row r="27" spans="1:4">
      <c r="A27" t="s">
        <v>17</v>
      </c>
      <c r="B27" t="s">
        <v>104</v>
      </c>
      <c r="C27" t="s">
        <v>61</v>
      </c>
      <c r="D27" t="s">
        <v>140</v>
      </c>
    </row>
    <row r="28" spans="1:4">
      <c r="A28" t="s">
        <v>18</v>
      </c>
      <c r="B28" t="s">
        <v>105</v>
      </c>
      <c r="C28" t="s">
        <v>62</v>
      </c>
      <c r="D28" t="s">
        <v>141</v>
      </c>
    </row>
    <row r="29" spans="1:4">
      <c r="A29" t="s">
        <v>19</v>
      </c>
      <c r="B29" t="s">
        <v>106</v>
      </c>
      <c r="C29" t="s">
        <v>63</v>
      </c>
      <c r="D29" t="s">
        <v>142</v>
      </c>
    </row>
    <row r="30" spans="1:4">
      <c r="A30" t="s">
        <v>20</v>
      </c>
      <c r="B30" t="s">
        <v>107</v>
      </c>
      <c r="C30" t="s">
        <v>64</v>
      </c>
      <c r="D30" t="s">
        <v>143</v>
      </c>
    </row>
    <row r="31" spans="1:4">
      <c r="A31" t="s">
        <v>21</v>
      </c>
      <c r="B31" t="s">
        <v>108</v>
      </c>
      <c r="C31" t="s">
        <v>66</v>
      </c>
      <c r="D31" t="s">
        <v>144</v>
      </c>
    </row>
    <row r="32" spans="1:4">
      <c r="A32" t="s">
        <v>22</v>
      </c>
      <c r="B32" t="s">
        <v>109</v>
      </c>
      <c r="C32" t="s">
        <v>67</v>
      </c>
      <c r="D32" t="s">
        <v>145</v>
      </c>
    </row>
    <row r="33" spans="1:4">
      <c r="A33" t="s">
        <v>23</v>
      </c>
      <c r="B33" t="s">
        <v>110</v>
      </c>
      <c r="C33" t="s">
        <v>68</v>
      </c>
      <c r="D33" t="s">
        <v>146</v>
      </c>
    </row>
    <row r="34" spans="1:4">
      <c r="A34" t="s">
        <v>24</v>
      </c>
      <c r="B34" t="s">
        <v>111</v>
      </c>
      <c r="C34" t="s">
        <v>69</v>
      </c>
      <c r="D34" t="s">
        <v>147</v>
      </c>
    </row>
    <row r="35" spans="1:4">
      <c r="A35" t="s">
        <v>25</v>
      </c>
      <c r="B35" t="s">
        <v>112</v>
      </c>
      <c r="C35" t="s">
        <v>70</v>
      </c>
      <c r="D35" t="s">
        <v>148</v>
      </c>
    </row>
    <row r="36" spans="1:4">
      <c r="A36" t="s">
        <v>26</v>
      </c>
      <c r="B36" t="s">
        <v>113</v>
      </c>
      <c r="C36" t="s">
        <v>71</v>
      </c>
      <c r="D36" t="s">
        <v>149</v>
      </c>
    </row>
    <row r="37" spans="1:4">
      <c r="A37" t="s">
        <v>27</v>
      </c>
      <c r="B37" t="s">
        <v>114</v>
      </c>
      <c r="C37" t="s">
        <v>72</v>
      </c>
      <c r="D37" t="s">
        <v>150</v>
      </c>
    </row>
    <row r="38" spans="1:4">
      <c r="A38" t="s">
        <v>28</v>
      </c>
      <c r="B38" t="s">
        <v>115</v>
      </c>
      <c r="C38" t="s">
        <v>73</v>
      </c>
      <c r="D38" t="s">
        <v>151</v>
      </c>
    </row>
    <row r="39" spans="1:4">
      <c r="A39" t="s">
        <v>29</v>
      </c>
      <c r="B39" t="s">
        <v>116</v>
      </c>
      <c r="C39" t="s">
        <v>74</v>
      </c>
      <c r="D39" t="s">
        <v>152</v>
      </c>
    </row>
    <row r="40" spans="1:4">
      <c r="A40" t="s">
        <v>30</v>
      </c>
      <c r="B40" t="s">
        <v>117</v>
      </c>
      <c r="C40" t="s">
        <v>75</v>
      </c>
      <c r="D40" t="s">
        <v>153</v>
      </c>
    </row>
    <row r="41" spans="1:4">
      <c r="A41" t="s">
        <v>31</v>
      </c>
      <c r="B41" t="s">
        <v>118</v>
      </c>
      <c r="C41" t="s">
        <v>76</v>
      </c>
      <c r="D41" t="s">
        <v>154</v>
      </c>
    </row>
    <row r="42" spans="1:4">
      <c r="A42" t="s">
        <v>32</v>
      </c>
      <c r="B42" t="s">
        <v>119</v>
      </c>
      <c r="C42" t="s">
        <v>77</v>
      </c>
      <c r="D42" t="s">
        <v>155</v>
      </c>
    </row>
    <row r="43" spans="1:4">
      <c r="A43" t="s">
        <v>33</v>
      </c>
      <c r="B43" t="s">
        <v>120</v>
      </c>
      <c r="C43" t="s">
        <v>78</v>
      </c>
      <c r="D43" t="s">
        <v>156</v>
      </c>
    </row>
    <row r="44" spans="1:4">
      <c r="A44" t="s">
        <v>34</v>
      </c>
      <c r="B44" t="s">
        <v>121</v>
      </c>
      <c r="C44" t="s">
        <v>79</v>
      </c>
      <c r="D44" t="s">
        <v>157</v>
      </c>
    </row>
    <row r="45" spans="1:4">
      <c r="A45" t="s">
        <v>35</v>
      </c>
      <c r="B45" t="s">
        <v>263</v>
      </c>
      <c r="C45" t="s">
        <v>250</v>
      </c>
      <c r="D45" t="s">
        <v>158</v>
      </c>
    </row>
    <row r="46" spans="1:4">
      <c r="A46" t="s">
        <v>36</v>
      </c>
      <c r="B46" t="s">
        <v>262</v>
      </c>
      <c r="C46" t="s">
        <v>249</v>
      </c>
      <c r="D46" t="s">
        <v>159</v>
      </c>
    </row>
    <row r="47" spans="1:4">
      <c r="A47" t="s">
        <v>302</v>
      </c>
      <c r="B47" t="s">
        <v>258</v>
      </c>
      <c r="C47" t="s">
        <v>245</v>
      </c>
      <c r="D47" t="s">
        <v>304</v>
      </c>
    </row>
    <row r="48" spans="1:4">
      <c r="A48" t="s">
        <v>303</v>
      </c>
      <c r="B48" t="s">
        <v>264</v>
      </c>
      <c r="C48" t="s">
        <v>251</v>
      </c>
      <c r="D48" t="s">
        <v>305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74A9-B8B3-40D7-B10A-54925D8C7E75}">
  <dimension ref="A1:H121"/>
  <sheetViews>
    <sheetView tabSelected="1" topLeftCell="A100" workbookViewId="0">
      <selection activeCell="H121" sqref="H3:H121"/>
    </sheetView>
  </sheetViews>
  <sheetFormatPr defaultRowHeight="18"/>
  <cols>
    <col min="1" max="3" width="8.6640625" style="2"/>
    <col min="4" max="4" width="20.5" style="2" bestFit="1" customWidth="1"/>
    <col min="5" max="5" width="15.33203125" style="2" bestFit="1" customWidth="1"/>
    <col min="6" max="6" width="8.6640625" style="2"/>
    <col min="8" max="8" width="18.9140625" customWidth="1"/>
  </cols>
  <sheetData>
    <row r="1" spans="1:8" ht="18.5" thickBot="1">
      <c r="A1" s="3" t="s">
        <v>177</v>
      </c>
      <c r="B1" s="3" t="s">
        <v>83</v>
      </c>
      <c r="C1" s="3" t="s">
        <v>238</v>
      </c>
      <c r="D1" s="3" t="s">
        <v>239</v>
      </c>
      <c r="E1" s="3" t="s">
        <v>240</v>
      </c>
      <c r="F1" s="3" t="s">
        <v>241</v>
      </c>
      <c r="G1" s="3" t="s">
        <v>242</v>
      </c>
    </row>
    <row r="2" spans="1:8" ht="18.5" thickTop="1">
      <c r="A2" s="2" t="s">
        <v>178</v>
      </c>
      <c r="B2" s="2">
        <v>2</v>
      </c>
      <c r="D2" s="2" t="s">
        <v>180</v>
      </c>
      <c r="E2" s="2">
        <v>0</v>
      </c>
      <c r="H2" t="str">
        <f>_xlfn.XLOOKUP(C2, Sheet1!B$2:B$48, Sheet1!A$2:A$48, "")</f>
        <v/>
      </c>
    </row>
    <row r="3" spans="1:8">
      <c r="A3" s="2" t="s">
        <v>178</v>
      </c>
      <c r="B3" s="2">
        <v>4</v>
      </c>
      <c r="C3" s="2" t="s">
        <v>192</v>
      </c>
      <c r="D3" s="2" t="s">
        <v>66</v>
      </c>
      <c r="E3" s="2">
        <v>0</v>
      </c>
      <c r="F3" s="2" t="s">
        <v>181</v>
      </c>
      <c r="H3" t="str">
        <f>_xlfn.XLOOKUP(C3, Sheet1!B$2:B$48, Sheet1!A$2:A$48, "")</f>
        <v>ft601_data[16]</v>
      </c>
    </row>
    <row r="4" spans="1:8">
      <c r="A4" s="2" t="s">
        <v>178</v>
      </c>
      <c r="B4" s="2">
        <v>6</v>
      </c>
      <c r="C4" s="2" t="s">
        <v>193</v>
      </c>
      <c r="D4" s="2" t="s">
        <v>67</v>
      </c>
      <c r="E4" s="2">
        <v>0</v>
      </c>
      <c r="F4" s="2" t="s">
        <v>181</v>
      </c>
      <c r="H4" t="str">
        <f>_xlfn.XLOOKUP(C4, Sheet1!B$2:B$48, Sheet1!A$2:A$48, "")</f>
        <v>ft601_data[17]</v>
      </c>
    </row>
    <row r="5" spans="1:8">
      <c r="A5" s="2" t="s">
        <v>178</v>
      </c>
      <c r="B5" s="2">
        <v>8</v>
      </c>
      <c r="C5" s="2" t="s">
        <v>194</v>
      </c>
      <c r="D5" s="2" t="s">
        <v>68</v>
      </c>
      <c r="E5" s="2">
        <v>0</v>
      </c>
      <c r="F5" s="2" t="s">
        <v>181</v>
      </c>
      <c r="H5" t="str">
        <f>_xlfn.XLOOKUP(C5, Sheet1!B$2:B$48, Sheet1!A$2:A$48, "")</f>
        <v>ft601_data[18]</v>
      </c>
    </row>
    <row r="6" spans="1:8">
      <c r="A6" s="2" t="s">
        <v>178</v>
      </c>
      <c r="B6" s="2">
        <v>10</v>
      </c>
      <c r="C6" s="2" t="s">
        <v>195</v>
      </c>
      <c r="D6" s="2" t="s">
        <v>65</v>
      </c>
      <c r="E6" s="2">
        <v>0</v>
      </c>
      <c r="F6" s="2" t="s">
        <v>181</v>
      </c>
      <c r="H6" t="str">
        <f>_xlfn.XLOOKUP(C6, Sheet1!B$2:B$48, Sheet1!A$2:A$48, "")</f>
        <v>ft601_clk</v>
      </c>
    </row>
    <row r="7" spans="1:8">
      <c r="A7" s="2" t="s">
        <v>178</v>
      </c>
      <c r="B7" s="2">
        <v>12</v>
      </c>
      <c r="C7" s="2" t="s">
        <v>196</v>
      </c>
      <c r="D7" s="2" t="s">
        <v>64</v>
      </c>
      <c r="E7" s="2">
        <v>0</v>
      </c>
      <c r="H7" t="str">
        <f>_xlfn.XLOOKUP(C7, Sheet1!B$2:B$48, Sheet1!A$2:A$48, "")</f>
        <v>ft601_data[15]</v>
      </c>
    </row>
    <row r="8" spans="1:8">
      <c r="A8" s="2" t="s">
        <v>178</v>
      </c>
      <c r="B8" s="2">
        <v>14</v>
      </c>
      <c r="C8" s="2" t="s">
        <v>197</v>
      </c>
      <c r="D8" s="2" t="s">
        <v>63</v>
      </c>
      <c r="E8" s="2">
        <v>0</v>
      </c>
      <c r="H8" t="str">
        <f>_xlfn.XLOOKUP(C8, Sheet1!B$2:B$48, Sheet1!A$2:A$48, "")</f>
        <v>ft601_data[14]</v>
      </c>
    </row>
    <row r="9" spans="1:8">
      <c r="A9" s="2" t="s">
        <v>178</v>
      </c>
      <c r="B9" s="2">
        <v>16</v>
      </c>
      <c r="C9" s="2" t="s">
        <v>198</v>
      </c>
      <c r="D9" s="2" t="s">
        <v>62</v>
      </c>
      <c r="E9" s="2">
        <v>0</v>
      </c>
      <c r="H9" t="str">
        <f>_xlfn.XLOOKUP(C9, Sheet1!B$2:B$48, Sheet1!A$2:A$48, "")</f>
        <v>ft601_data[13]</v>
      </c>
    </row>
    <row r="10" spans="1:8">
      <c r="A10" s="2" t="s">
        <v>178</v>
      </c>
      <c r="B10" s="2">
        <v>18</v>
      </c>
      <c r="C10" s="2" t="s">
        <v>199</v>
      </c>
      <c r="D10" s="2" t="s">
        <v>61</v>
      </c>
      <c r="E10" s="2">
        <v>0</v>
      </c>
      <c r="H10" t="str">
        <f>_xlfn.XLOOKUP(C10, Sheet1!B$2:B$48, Sheet1!A$2:A$48, "")</f>
        <v>ft601_data[12]</v>
      </c>
    </row>
    <row r="11" spans="1:8">
      <c r="A11" s="2" t="s">
        <v>178</v>
      </c>
      <c r="B11" s="2">
        <v>20</v>
      </c>
      <c r="C11" s="2" t="s">
        <v>200</v>
      </c>
      <c r="D11" s="2" t="s">
        <v>60</v>
      </c>
      <c r="E11" s="2">
        <v>0</v>
      </c>
      <c r="H11" t="str">
        <f>_xlfn.XLOOKUP(C11, Sheet1!B$2:B$48, Sheet1!A$2:A$48, "")</f>
        <v>ft601_data[11]</v>
      </c>
    </row>
    <row r="12" spans="1:8">
      <c r="A12" s="2" t="s">
        <v>178</v>
      </c>
      <c r="B12" s="2">
        <v>22</v>
      </c>
      <c r="C12" s="2" t="s">
        <v>201</v>
      </c>
      <c r="D12" s="2" t="s">
        <v>59</v>
      </c>
      <c r="E12" s="2">
        <v>0</v>
      </c>
      <c r="H12" t="str">
        <f>_xlfn.XLOOKUP(C12, Sheet1!B$2:B$48, Sheet1!A$2:A$48, "")</f>
        <v>ft601_data[10]</v>
      </c>
    </row>
    <row r="13" spans="1:8">
      <c r="A13" s="2" t="s">
        <v>178</v>
      </c>
      <c r="B13" s="2">
        <v>24</v>
      </c>
      <c r="D13" s="2" t="s">
        <v>179</v>
      </c>
      <c r="H13" t="str">
        <f>_xlfn.XLOOKUP(C13, Sheet1!B$2:B$48, Sheet1!A$2:A$48, "")</f>
        <v/>
      </c>
    </row>
    <row r="14" spans="1:8">
      <c r="A14" s="2" t="s">
        <v>178</v>
      </c>
      <c r="B14" s="2">
        <v>26</v>
      </c>
      <c r="D14" s="2" t="s">
        <v>179</v>
      </c>
      <c r="H14" t="str">
        <f>_xlfn.XLOOKUP(C14, Sheet1!B$2:B$48, Sheet1!A$2:A$48, "")</f>
        <v/>
      </c>
    </row>
    <row r="15" spans="1:8">
      <c r="A15" s="2" t="s">
        <v>178</v>
      </c>
      <c r="B15" s="2">
        <v>28</v>
      </c>
      <c r="D15" s="2" t="s">
        <v>180</v>
      </c>
      <c r="H15" t="str">
        <f>_xlfn.XLOOKUP(C15, Sheet1!B$2:B$48, Sheet1!A$2:A$48, "")</f>
        <v/>
      </c>
    </row>
    <row r="16" spans="1:8">
      <c r="A16" s="2" t="s">
        <v>178</v>
      </c>
      <c r="B16" s="2">
        <v>30</v>
      </c>
      <c r="C16" s="2" t="s">
        <v>209</v>
      </c>
      <c r="D16" s="2" t="s">
        <v>58</v>
      </c>
      <c r="E16" s="2">
        <v>7</v>
      </c>
      <c r="H16" t="str">
        <f>_xlfn.XLOOKUP(C16, Sheet1!B$2:B$48, Sheet1!A$2:A$48, "")</f>
        <v>ft601_data[9]</v>
      </c>
    </row>
    <row r="17" spans="1:8">
      <c r="A17" s="2" t="s">
        <v>178</v>
      </c>
      <c r="B17" s="2">
        <v>32</v>
      </c>
      <c r="C17" s="2" t="s">
        <v>213</v>
      </c>
      <c r="D17" s="2" t="s">
        <v>57</v>
      </c>
      <c r="E17" s="2">
        <v>7</v>
      </c>
      <c r="H17" t="str">
        <f>_xlfn.XLOOKUP(C17, Sheet1!B$2:B$48, Sheet1!A$2:A$48, "")</f>
        <v>ft601_data[8]</v>
      </c>
    </row>
    <row r="18" spans="1:8">
      <c r="A18" s="2" t="s">
        <v>178</v>
      </c>
      <c r="B18" s="2">
        <v>34</v>
      </c>
      <c r="C18" s="2" t="s">
        <v>214</v>
      </c>
      <c r="D18" s="2" t="s">
        <v>56</v>
      </c>
      <c r="E18" s="2">
        <v>7</v>
      </c>
      <c r="H18" t="str">
        <f>_xlfn.XLOOKUP(C18, Sheet1!B$2:B$48, Sheet1!A$2:A$48, "")</f>
        <v>ft601_data[7]</v>
      </c>
    </row>
    <row r="19" spans="1:8">
      <c r="A19" s="2" t="s">
        <v>178</v>
      </c>
      <c r="B19" s="2">
        <v>36</v>
      </c>
      <c r="C19" s="2" t="s">
        <v>215</v>
      </c>
      <c r="D19" s="2" t="s">
        <v>55</v>
      </c>
      <c r="E19" s="2">
        <v>7</v>
      </c>
      <c r="H19" t="str">
        <f>_xlfn.XLOOKUP(C19, Sheet1!B$2:B$48, Sheet1!A$2:A$48, "")</f>
        <v>ft601_data[6]</v>
      </c>
    </row>
    <row r="20" spans="1:8">
      <c r="A20" s="2" t="s">
        <v>178</v>
      </c>
      <c r="B20" s="2">
        <v>38</v>
      </c>
      <c r="C20" s="2" t="s">
        <v>216</v>
      </c>
      <c r="D20" s="2" t="s">
        <v>54</v>
      </c>
      <c r="E20" s="2">
        <v>7</v>
      </c>
      <c r="H20" t="str">
        <f>_xlfn.XLOOKUP(C20, Sheet1!B$2:B$48, Sheet1!A$2:A$48, "")</f>
        <v>ft601_data[5]</v>
      </c>
    </row>
    <row r="21" spans="1:8">
      <c r="A21" s="2" t="s">
        <v>178</v>
      </c>
      <c r="B21" s="2">
        <v>40</v>
      </c>
      <c r="C21" s="2" t="s">
        <v>217</v>
      </c>
      <c r="D21" s="2" t="s">
        <v>53</v>
      </c>
      <c r="E21" s="2">
        <v>7</v>
      </c>
      <c r="H21" t="str">
        <f>_xlfn.XLOOKUP(C21, Sheet1!B$2:B$48, Sheet1!A$2:A$48, "")</f>
        <v>ft601_data[4]</v>
      </c>
    </row>
    <row r="22" spans="1:8">
      <c r="A22" s="2" t="s">
        <v>178</v>
      </c>
      <c r="B22" s="2">
        <v>42</v>
      </c>
      <c r="C22" s="2" t="s">
        <v>218</v>
      </c>
      <c r="D22" s="2" t="s">
        <v>52</v>
      </c>
      <c r="E22" s="2">
        <v>7</v>
      </c>
      <c r="H22" t="str">
        <f>_xlfn.XLOOKUP(C22, Sheet1!B$2:B$48, Sheet1!A$2:A$48, "")</f>
        <v>ft601_data[3]</v>
      </c>
    </row>
    <row r="23" spans="1:8">
      <c r="A23" s="2" t="s">
        <v>178</v>
      </c>
      <c r="B23" s="2">
        <v>44</v>
      </c>
      <c r="C23" s="2" t="s">
        <v>219</v>
      </c>
      <c r="D23" s="2" t="s">
        <v>51</v>
      </c>
      <c r="E23" s="2">
        <v>7</v>
      </c>
      <c r="H23" t="str">
        <f>_xlfn.XLOOKUP(C23, Sheet1!B$2:B$48, Sheet1!A$2:A$48, "")</f>
        <v>ft601_data[2]</v>
      </c>
    </row>
    <row r="24" spans="1:8">
      <c r="A24" s="2" t="s">
        <v>178</v>
      </c>
      <c r="B24" s="2">
        <v>46</v>
      </c>
      <c r="C24" s="2" t="s">
        <v>202</v>
      </c>
      <c r="D24" s="2" t="s">
        <v>50</v>
      </c>
      <c r="E24" s="2">
        <v>7</v>
      </c>
      <c r="H24" t="str">
        <f>_xlfn.XLOOKUP(C24, Sheet1!B$2:B$48, Sheet1!A$2:A$48, "")</f>
        <v>ft601_data[1]</v>
      </c>
    </row>
    <row r="25" spans="1:8">
      <c r="A25" s="2" t="s">
        <v>178</v>
      </c>
      <c r="B25" s="2">
        <v>48</v>
      </c>
      <c r="C25" s="2" t="s">
        <v>203</v>
      </c>
      <c r="D25" s="2" t="s">
        <v>49</v>
      </c>
      <c r="E25" s="2">
        <v>7</v>
      </c>
      <c r="H25" t="str">
        <f>_xlfn.XLOOKUP(C25, Sheet1!B$2:B$48, Sheet1!A$2:A$48, "")</f>
        <v>ft601_data[0]</v>
      </c>
    </row>
    <row r="26" spans="1:8">
      <c r="A26" s="2" t="s">
        <v>178</v>
      </c>
      <c r="B26" s="2">
        <v>50</v>
      </c>
      <c r="D26" s="2" t="s">
        <v>180</v>
      </c>
      <c r="H26" t="str">
        <f>_xlfn.XLOOKUP(C26, Sheet1!B$2:B$48, Sheet1!A$2:A$48, "")</f>
        <v/>
      </c>
    </row>
    <row r="27" spans="1:8">
      <c r="A27" s="2" t="s">
        <v>178</v>
      </c>
      <c r="B27" s="2">
        <v>52</v>
      </c>
      <c r="C27" s="2" t="s">
        <v>204</v>
      </c>
      <c r="D27" s="2" t="s">
        <v>182</v>
      </c>
      <c r="E27" s="2">
        <v>6</v>
      </c>
      <c r="H27" t="str">
        <f>_xlfn.XLOOKUP(C27, Sheet1!B$2:B$48, Sheet1!A$2:A$48, "")</f>
        <v/>
      </c>
    </row>
    <row r="28" spans="1:8">
      <c r="A28" s="2" t="s">
        <v>178</v>
      </c>
      <c r="B28" s="2">
        <v>54</v>
      </c>
      <c r="C28" s="2" t="s">
        <v>205</v>
      </c>
      <c r="D28" s="2" t="s">
        <v>183</v>
      </c>
      <c r="E28" s="2">
        <v>6</v>
      </c>
      <c r="H28" t="str">
        <f>_xlfn.XLOOKUP(C28, Sheet1!B$2:B$48, Sheet1!A$2:A$48, "")</f>
        <v/>
      </c>
    </row>
    <row r="29" spans="1:8">
      <c r="A29" s="2" t="s">
        <v>178</v>
      </c>
      <c r="B29" s="2">
        <v>56</v>
      </c>
      <c r="C29" s="2" t="s">
        <v>243</v>
      </c>
      <c r="D29" s="2" t="s">
        <v>184</v>
      </c>
      <c r="E29" s="2">
        <v>6</v>
      </c>
      <c r="H29" t="str">
        <f>_xlfn.XLOOKUP(C29, Sheet1!B$2:B$48, Sheet1!A$2:A$48, "")</f>
        <v/>
      </c>
    </row>
    <row r="30" spans="1:8">
      <c r="A30" s="2" t="s">
        <v>178</v>
      </c>
      <c r="B30" s="2">
        <v>58</v>
      </c>
      <c r="C30" s="2" t="s">
        <v>206</v>
      </c>
      <c r="D30" s="2" t="s">
        <v>185</v>
      </c>
      <c r="E30" s="2">
        <v>6</v>
      </c>
      <c r="H30" t="str">
        <f>_xlfn.XLOOKUP(C30, Sheet1!B$2:B$48, Sheet1!A$2:A$48, "")</f>
        <v/>
      </c>
    </row>
    <row r="31" spans="1:8">
      <c r="A31" s="2" t="s">
        <v>178</v>
      </c>
      <c r="B31" s="2">
        <v>60</v>
      </c>
      <c r="D31" s="2" t="s">
        <v>180</v>
      </c>
      <c r="H31" t="str">
        <f>_xlfn.XLOOKUP(C31, Sheet1!B$2:B$48, Sheet1!A$2:A$48, "")</f>
        <v/>
      </c>
    </row>
    <row r="32" spans="1:8">
      <c r="A32" s="2" t="s">
        <v>178</v>
      </c>
      <c r="B32" s="2">
        <v>1</v>
      </c>
      <c r="D32" s="2" t="s">
        <v>180</v>
      </c>
      <c r="E32" s="2">
        <v>0</v>
      </c>
      <c r="H32" t="str">
        <f>_xlfn.XLOOKUP(C32, Sheet1!B$2:B$48, Sheet1!A$2:A$48, "")</f>
        <v/>
      </c>
    </row>
    <row r="33" spans="1:8">
      <c r="A33" s="2" t="s">
        <v>178</v>
      </c>
      <c r="B33" s="2">
        <v>3</v>
      </c>
      <c r="C33" s="2" t="s">
        <v>220</v>
      </c>
      <c r="D33" s="2" t="s">
        <v>69</v>
      </c>
      <c r="E33" s="2">
        <v>0</v>
      </c>
      <c r="H33" t="str">
        <f>_xlfn.XLOOKUP(C33, Sheet1!B$2:B$48, Sheet1!A$2:A$48, "")</f>
        <v>ft601_data[19]</v>
      </c>
    </row>
    <row r="34" spans="1:8">
      <c r="A34" s="2" t="s">
        <v>178</v>
      </c>
      <c r="B34" s="2">
        <v>5</v>
      </c>
      <c r="C34" s="2" t="s">
        <v>221</v>
      </c>
      <c r="D34" s="2" t="s">
        <v>70</v>
      </c>
      <c r="E34" s="2">
        <v>0</v>
      </c>
      <c r="H34" t="str">
        <f>_xlfn.XLOOKUP(C34, Sheet1!B$2:B$48, Sheet1!A$2:A$48, "")</f>
        <v>ft601_data[20]</v>
      </c>
    </row>
    <row r="35" spans="1:8">
      <c r="A35" s="2" t="s">
        <v>178</v>
      </c>
      <c r="B35" s="2">
        <v>7</v>
      </c>
      <c r="C35" s="2" t="s">
        <v>222</v>
      </c>
      <c r="D35" s="2" t="s">
        <v>71</v>
      </c>
      <c r="E35" s="2">
        <v>0</v>
      </c>
      <c r="F35" s="2" t="s">
        <v>181</v>
      </c>
      <c r="H35" t="str">
        <f>_xlfn.XLOOKUP(C35, Sheet1!B$2:B$48, Sheet1!A$2:A$48, "")</f>
        <v>ft601_data[21]</v>
      </c>
    </row>
    <row r="36" spans="1:8">
      <c r="A36" s="2" t="s">
        <v>178</v>
      </c>
      <c r="B36" s="2">
        <v>9</v>
      </c>
      <c r="C36" s="2" t="s">
        <v>223</v>
      </c>
      <c r="D36" s="2" t="s">
        <v>72</v>
      </c>
      <c r="E36" s="2">
        <v>0</v>
      </c>
      <c r="F36" s="2" t="s">
        <v>181</v>
      </c>
      <c r="H36" t="str">
        <f>_xlfn.XLOOKUP(C36, Sheet1!B$2:B$48, Sheet1!A$2:A$48, "")</f>
        <v>ft601_data[22]</v>
      </c>
    </row>
    <row r="37" spans="1:8">
      <c r="A37" s="2" t="s">
        <v>178</v>
      </c>
      <c r="B37" s="2">
        <v>11</v>
      </c>
      <c r="C37" s="2" t="s">
        <v>224</v>
      </c>
      <c r="D37" s="2" t="s">
        <v>73</v>
      </c>
      <c r="E37" s="2">
        <v>0</v>
      </c>
      <c r="F37" s="2" t="s">
        <v>181</v>
      </c>
      <c r="H37" t="str">
        <f>_xlfn.XLOOKUP(C37, Sheet1!B$2:B$48, Sheet1!A$2:A$48, "")</f>
        <v>ft601_data[23]</v>
      </c>
    </row>
    <row r="38" spans="1:8">
      <c r="A38" s="2" t="s">
        <v>178</v>
      </c>
      <c r="B38" s="2">
        <v>13</v>
      </c>
      <c r="C38" s="2" t="s">
        <v>225</v>
      </c>
      <c r="D38" s="2" t="s">
        <v>74</v>
      </c>
      <c r="F38" s="2" t="s">
        <v>181</v>
      </c>
      <c r="H38" t="str">
        <f>_xlfn.XLOOKUP(C38, Sheet1!B$2:B$48, Sheet1!A$2:A$48, "")</f>
        <v>ft601_data[24]</v>
      </c>
    </row>
    <row r="39" spans="1:8">
      <c r="A39" s="2" t="s">
        <v>178</v>
      </c>
      <c r="B39" s="2">
        <v>15</v>
      </c>
      <c r="D39" s="2" t="s">
        <v>180</v>
      </c>
      <c r="H39" t="str">
        <f>_xlfn.XLOOKUP(C39, Sheet1!B$2:B$48, Sheet1!A$2:A$48, "")</f>
        <v/>
      </c>
    </row>
    <row r="40" spans="1:8">
      <c r="A40" s="2" t="s">
        <v>178</v>
      </c>
      <c r="B40" s="2">
        <v>17</v>
      </c>
      <c r="C40" s="2" t="s">
        <v>207</v>
      </c>
      <c r="D40" s="2" t="s">
        <v>186</v>
      </c>
      <c r="E40" s="2">
        <v>4</v>
      </c>
      <c r="G40">
        <v>3.3</v>
      </c>
      <c r="H40" t="str">
        <f>_xlfn.XLOOKUP(C40, Sheet1!B$2:B$48, Sheet1!A$2:A$48, "")</f>
        <v/>
      </c>
    </row>
    <row r="41" spans="1:8">
      <c r="A41" s="2" t="s">
        <v>178</v>
      </c>
      <c r="B41" s="2">
        <v>19</v>
      </c>
      <c r="C41" s="2" t="s">
        <v>210</v>
      </c>
      <c r="D41" s="2" t="s">
        <v>187</v>
      </c>
      <c r="E41" s="2">
        <v>4</v>
      </c>
      <c r="G41">
        <v>3.3</v>
      </c>
      <c r="H41" t="str">
        <f>_xlfn.XLOOKUP(C41, Sheet1!B$2:B$48, Sheet1!A$2:A$48, "")</f>
        <v/>
      </c>
    </row>
    <row r="42" spans="1:8">
      <c r="A42" s="2" t="s">
        <v>178</v>
      </c>
      <c r="B42" s="2">
        <v>21</v>
      </c>
      <c r="C42" s="2" t="s">
        <v>211</v>
      </c>
      <c r="D42" s="2" t="s">
        <v>188</v>
      </c>
      <c r="E42" s="2">
        <v>4</v>
      </c>
      <c r="G42">
        <v>3.3</v>
      </c>
      <c r="H42" t="str">
        <f>_xlfn.XLOOKUP(C42, Sheet1!B$2:B$48, Sheet1!A$2:A$48, "")</f>
        <v/>
      </c>
    </row>
    <row r="43" spans="1:8">
      <c r="A43" s="2" t="s">
        <v>178</v>
      </c>
      <c r="B43" s="2">
        <v>23</v>
      </c>
      <c r="C43" s="2" t="s">
        <v>212</v>
      </c>
      <c r="D43" s="2" t="s">
        <v>189</v>
      </c>
      <c r="E43" s="2">
        <v>4</v>
      </c>
      <c r="G43">
        <v>3.3</v>
      </c>
      <c r="H43" t="str">
        <f>_xlfn.XLOOKUP(C43, Sheet1!B$2:B$48, Sheet1!A$2:A$48, "")</f>
        <v/>
      </c>
    </row>
    <row r="44" spans="1:8">
      <c r="A44" s="2" t="s">
        <v>178</v>
      </c>
      <c r="B44" s="2">
        <v>25</v>
      </c>
      <c r="C44" s="2" t="s">
        <v>208</v>
      </c>
      <c r="D44" s="2" t="s">
        <v>190</v>
      </c>
      <c r="E44" s="2">
        <v>4</v>
      </c>
      <c r="G44">
        <v>3.3</v>
      </c>
      <c r="H44" t="str">
        <f>_xlfn.XLOOKUP(C44, Sheet1!B$2:B$48, Sheet1!A$2:A$48, "")</f>
        <v/>
      </c>
    </row>
    <row r="45" spans="1:8">
      <c r="A45" s="2" t="s">
        <v>178</v>
      </c>
      <c r="B45" s="2">
        <v>27</v>
      </c>
      <c r="D45" s="2" t="s">
        <v>180</v>
      </c>
      <c r="H45" t="str">
        <f>_xlfn.XLOOKUP(C45, Sheet1!B$2:B$48, Sheet1!A$2:A$48, "")</f>
        <v/>
      </c>
    </row>
    <row r="46" spans="1:8">
      <c r="A46" s="2" t="s">
        <v>178</v>
      </c>
      <c r="B46" s="2">
        <v>29</v>
      </c>
      <c r="D46" s="2" t="s">
        <v>191</v>
      </c>
      <c r="H46" t="str">
        <f>_xlfn.XLOOKUP(C46, Sheet1!B$2:B$48, Sheet1!A$2:A$48, "")</f>
        <v/>
      </c>
    </row>
    <row r="47" spans="1:8">
      <c r="A47" s="2" t="s">
        <v>178</v>
      </c>
      <c r="B47" s="2">
        <v>31</v>
      </c>
      <c r="D47" s="2" t="s">
        <v>191</v>
      </c>
      <c r="H47" t="str">
        <f>_xlfn.XLOOKUP(C47, Sheet1!B$2:B$48, Sheet1!A$2:A$48, "")</f>
        <v/>
      </c>
    </row>
    <row r="48" spans="1:8">
      <c r="A48" s="2" t="s">
        <v>178</v>
      </c>
      <c r="B48" s="2">
        <v>33</v>
      </c>
      <c r="C48" s="2" t="s">
        <v>226</v>
      </c>
      <c r="D48" s="2" t="s">
        <v>75</v>
      </c>
      <c r="E48" s="2">
        <v>7</v>
      </c>
      <c r="F48" s="2" t="s">
        <v>181</v>
      </c>
      <c r="H48" t="str">
        <f>_xlfn.XLOOKUP(C48, Sheet1!B$2:B$48, Sheet1!A$2:A$48, "")</f>
        <v>ft601_data[25]</v>
      </c>
    </row>
    <row r="49" spans="1:8">
      <c r="A49" s="2" t="s">
        <v>178</v>
      </c>
      <c r="B49" s="2">
        <v>35</v>
      </c>
      <c r="C49" s="2" t="s">
        <v>227</v>
      </c>
      <c r="D49" s="2" t="s">
        <v>76</v>
      </c>
      <c r="E49" s="2">
        <v>7</v>
      </c>
      <c r="F49" s="2" t="s">
        <v>181</v>
      </c>
      <c r="H49" t="str">
        <f>_xlfn.XLOOKUP(C49, Sheet1!B$2:B$48, Sheet1!A$2:A$48, "")</f>
        <v>ft601_data[26]</v>
      </c>
    </row>
    <row r="50" spans="1:8">
      <c r="A50" s="2" t="s">
        <v>178</v>
      </c>
      <c r="B50" s="2">
        <v>37</v>
      </c>
      <c r="C50" s="2" t="s">
        <v>228</v>
      </c>
      <c r="D50" s="2" t="s">
        <v>77</v>
      </c>
      <c r="E50" s="2">
        <v>7</v>
      </c>
      <c r="F50" s="2" t="s">
        <v>181</v>
      </c>
      <c r="H50" t="str">
        <f>_xlfn.XLOOKUP(C50, Sheet1!B$2:B$48, Sheet1!A$2:A$48, "")</f>
        <v>ft601_data[27]</v>
      </c>
    </row>
    <row r="51" spans="1:8">
      <c r="A51" s="2" t="s">
        <v>178</v>
      </c>
      <c r="B51" s="2">
        <v>39</v>
      </c>
      <c r="C51" s="2" t="s">
        <v>229</v>
      </c>
      <c r="D51" s="2" t="s">
        <v>78</v>
      </c>
      <c r="E51" s="2">
        <v>7</v>
      </c>
      <c r="F51" s="2" t="s">
        <v>181</v>
      </c>
      <c r="H51" t="str">
        <f>_xlfn.XLOOKUP(C51, Sheet1!B$2:B$48, Sheet1!A$2:A$48, "")</f>
        <v>ft601_data[28]</v>
      </c>
    </row>
    <row r="52" spans="1:8">
      <c r="A52" s="2" t="s">
        <v>178</v>
      </c>
      <c r="B52" s="2">
        <v>41</v>
      </c>
      <c r="C52" s="2" t="s">
        <v>230</v>
      </c>
      <c r="D52" s="2" t="s">
        <v>79</v>
      </c>
      <c r="E52" s="2">
        <v>7</v>
      </c>
      <c r="H52" t="str">
        <f>_xlfn.XLOOKUP(C52, Sheet1!B$2:B$48, Sheet1!A$2:A$48, "")</f>
        <v>ft601_data[29]</v>
      </c>
    </row>
    <row r="53" spans="1:8">
      <c r="A53" s="2" t="s">
        <v>178</v>
      </c>
      <c r="B53" s="2">
        <v>43</v>
      </c>
      <c r="C53" s="2" t="s">
        <v>231</v>
      </c>
      <c r="D53" s="2" t="s">
        <v>80</v>
      </c>
      <c r="E53" s="2">
        <v>7</v>
      </c>
      <c r="H53" t="str">
        <f>_xlfn.XLOOKUP(C53, Sheet1!B$2:B$48, Sheet1!A$2:A$48, "")</f>
        <v/>
      </c>
    </row>
    <row r="54" spans="1:8">
      <c r="A54" s="2" t="s">
        <v>178</v>
      </c>
      <c r="B54" s="2">
        <v>45</v>
      </c>
      <c r="D54" s="2" t="s">
        <v>180</v>
      </c>
      <c r="H54" t="str">
        <f>_xlfn.XLOOKUP(C54, Sheet1!B$2:B$48, Sheet1!A$2:A$48, "")</f>
        <v/>
      </c>
    </row>
    <row r="55" spans="1:8">
      <c r="A55" s="2" t="s">
        <v>178</v>
      </c>
      <c r="B55" s="2">
        <v>47</v>
      </c>
      <c r="C55" s="2" t="s">
        <v>232</v>
      </c>
      <c r="D55" s="2" t="s">
        <v>81</v>
      </c>
      <c r="E55" s="2">
        <v>6</v>
      </c>
      <c r="H55" t="str">
        <f>_xlfn.XLOOKUP(C55, Sheet1!B$2:B$48, Sheet1!A$2:A$48, "")</f>
        <v/>
      </c>
    </row>
    <row r="56" spans="1:8">
      <c r="A56" s="2" t="s">
        <v>178</v>
      </c>
      <c r="B56" s="2">
        <v>49</v>
      </c>
      <c r="C56" s="2" t="s">
        <v>233</v>
      </c>
      <c r="D56" s="2" t="s">
        <v>37</v>
      </c>
      <c r="E56" s="2">
        <v>6</v>
      </c>
      <c r="H56" t="str">
        <f>_xlfn.XLOOKUP(C56, Sheet1!B$2:B$48, Sheet1!A$2:A$48, "")</f>
        <v/>
      </c>
    </row>
    <row r="57" spans="1:8">
      <c r="A57" s="2" t="s">
        <v>178</v>
      </c>
      <c r="B57" s="2">
        <v>51</v>
      </c>
      <c r="C57" s="2" t="s">
        <v>234</v>
      </c>
      <c r="D57" s="2" t="s">
        <v>38</v>
      </c>
      <c r="E57" s="2">
        <v>6</v>
      </c>
      <c r="H57" t="str">
        <f>_xlfn.XLOOKUP(C57, Sheet1!B$2:B$48, Sheet1!A$2:A$48, "")</f>
        <v/>
      </c>
    </row>
    <row r="58" spans="1:8">
      <c r="A58" s="2" t="s">
        <v>178</v>
      </c>
      <c r="B58" s="2">
        <v>53</v>
      </c>
      <c r="C58" s="2" t="s">
        <v>235</v>
      </c>
      <c r="D58" s="2" t="s">
        <v>39</v>
      </c>
      <c r="E58" s="2">
        <v>6</v>
      </c>
      <c r="H58" t="str">
        <f>_xlfn.XLOOKUP(C58, Sheet1!B$2:B$48, Sheet1!A$2:A$48, "")</f>
        <v/>
      </c>
    </row>
    <row r="59" spans="1:8">
      <c r="A59" s="2" t="s">
        <v>178</v>
      </c>
      <c r="B59" s="2">
        <v>55</v>
      </c>
      <c r="C59" s="2" t="s">
        <v>236</v>
      </c>
      <c r="D59" s="2" t="s">
        <v>40</v>
      </c>
      <c r="E59" s="2">
        <v>6</v>
      </c>
      <c r="H59" t="str">
        <f>_xlfn.XLOOKUP(C59, Sheet1!B$2:B$48, Sheet1!A$2:A$48, "")</f>
        <v/>
      </c>
    </row>
    <row r="60" spans="1:8">
      <c r="A60" s="2" t="s">
        <v>178</v>
      </c>
      <c r="B60" s="2">
        <v>57</v>
      </c>
      <c r="C60" s="2" t="s">
        <v>237</v>
      </c>
      <c r="D60" s="2" t="s">
        <v>41</v>
      </c>
      <c r="E60" s="2">
        <v>6</v>
      </c>
      <c r="H60" t="str">
        <f>_xlfn.XLOOKUP(C60, Sheet1!B$2:B$48, Sheet1!A$2:A$48, "")</f>
        <v/>
      </c>
    </row>
    <row r="61" spans="1:8">
      <c r="A61" s="2" t="s">
        <v>178</v>
      </c>
      <c r="B61" s="2">
        <v>59</v>
      </c>
      <c r="D61" s="2" t="s">
        <v>180</v>
      </c>
      <c r="H61" t="str">
        <f>_xlfn.XLOOKUP(C61, Sheet1!B$2:B$48, Sheet1!A$2:A$48, "")</f>
        <v/>
      </c>
    </row>
    <row r="62" spans="1:8">
      <c r="A62" s="2" t="s">
        <v>86</v>
      </c>
      <c r="B62" s="2">
        <v>2</v>
      </c>
      <c r="D62" s="2" t="s">
        <v>244</v>
      </c>
      <c r="H62" t="str">
        <f>_xlfn.XLOOKUP(C62, Sheet1!B$2:B$48, Sheet1!A$2:A$48, "")</f>
        <v/>
      </c>
    </row>
    <row r="63" spans="1:8">
      <c r="A63" s="2" t="s">
        <v>86</v>
      </c>
      <c r="B63" s="2">
        <v>4</v>
      </c>
      <c r="D63" s="2" t="s">
        <v>244</v>
      </c>
      <c r="H63" t="str">
        <f>_xlfn.XLOOKUP(C63, Sheet1!B$2:B$48, Sheet1!A$2:A$48, "")</f>
        <v/>
      </c>
    </row>
    <row r="64" spans="1:8">
      <c r="A64" s="2" t="s">
        <v>86</v>
      </c>
      <c r="B64" s="2">
        <v>6</v>
      </c>
      <c r="C64" s="2" t="s">
        <v>258</v>
      </c>
      <c r="D64" s="2" t="s">
        <v>245</v>
      </c>
      <c r="E64" s="2">
        <v>2</v>
      </c>
      <c r="H64" t="str">
        <f>_xlfn.XLOOKUP(C64, Sheet1!B$2:B$48, Sheet1!A$2:A$48, "")</f>
        <v>ft601_reset_n</v>
      </c>
    </row>
    <row r="65" spans="1:8">
      <c r="A65" s="2" t="s">
        <v>86</v>
      </c>
      <c r="B65" s="2">
        <v>8</v>
      </c>
      <c r="C65" s="2" t="s">
        <v>89</v>
      </c>
      <c r="D65" s="2" t="s">
        <v>46</v>
      </c>
      <c r="E65" s="2">
        <v>2</v>
      </c>
      <c r="H65" t="str">
        <f>_xlfn.XLOOKUP(C65, Sheet1!B$2:B$48, Sheet1!A$2:A$48, "")</f>
        <v>ft601_oe_n</v>
      </c>
    </row>
    <row r="66" spans="1:8">
      <c r="A66" s="2" t="s">
        <v>86</v>
      </c>
      <c r="B66" s="2">
        <v>10</v>
      </c>
      <c r="C66" s="2" t="s">
        <v>88</v>
      </c>
      <c r="D66" s="2" t="s">
        <v>45</v>
      </c>
      <c r="E66" s="2">
        <v>2</v>
      </c>
      <c r="H66" t="str">
        <f>_xlfn.XLOOKUP(C66, Sheet1!B$2:B$48, Sheet1!A$2:A$48, "")</f>
        <v>ft601_rd_n</v>
      </c>
    </row>
    <row r="67" spans="1:8">
      <c r="A67" s="2" t="s">
        <v>86</v>
      </c>
      <c r="B67" s="2">
        <v>12</v>
      </c>
      <c r="C67" s="2" t="s">
        <v>87</v>
      </c>
      <c r="D67" s="2" t="s">
        <v>44</v>
      </c>
      <c r="E67" s="2">
        <v>2</v>
      </c>
      <c r="H67" t="str">
        <f>_xlfn.XLOOKUP(C67, Sheet1!B$2:B$48, Sheet1!A$2:A$48, "")</f>
        <v>ft601_wr_n</v>
      </c>
    </row>
    <row r="68" spans="1:8">
      <c r="A68" s="2" t="s">
        <v>86</v>
      </c>
      <c r="B68" s="2">
        <v>14</v>
      </c>
      <c r="C68" s="2" t="s">
        <v>86</v>
      </c>
      <c r="D68" s="2" t="s">
        <v>43</v>
      </c>
      <c r="E68" s="2">
        <v>2</v>
      </c>
      <c r="H68" t="str">
        <f>_xlfn.XLOOKUP(C68, Sheet1!B$2:B$48, Sheet1!A$2:A$48, "")</f>
        <v>ft601_siwu_n</v>
      </c>
    </row>
    <row r="69" spans="1:8">
      <c r="A69" s="2" t="s">
        <v>86</v>
      </c>
      <c r="B69" s="2">
        <v>16</v>
      </c>
      <c r="C69" s="2" t="s">
        <v>85</v>
      </c>
      <c r="D69" s="2" t="s">
        <v>42</v>
      </c>
      <c r="E69" s="2">
        <v>2</v>
      </c>
      <c r="H69" t="str">
        <f>_xlfn.XLOOKUP(C69, Sheet1!B$2:B$48, Sheet1!A$2:A$48, "")</f>
        <v>ft601_rxf_n</v>
      </c>
    </row>
    <row r="70" spans="1:8">
      <c r="A70" s="2" t="s">
        <v>86</v>
      </c>
      <c r="B70" s="2">
        <v>18</v>
      </c>
      <c r="C70" s="2" t="s">
        <v>259</v>
      </c>
      <c r="D70" s="2" t="s">
        <v>246</v>
      </c>
      <c r="E70" s="2">
        <v>2</v>
      </c>
      <c r="F70" s="2" t="s">
        <v>283</v>
      </c>
      <c r="H70" t="str">
        <f>_xlfn.XLOOKUP(C70, Sheet1!B$2:B$48, Sheet1!A$2:A$48, "")</f>
        <v>ft601_txe_n</v>
      </c>
    </row>
    <row r="71" spans="1:8">
      <c r="A71" s="2" t="s">
        <v>86</v>
      </c>
      <c r="B71" s="2">
        <v>20</v>
      </c>
      <c r="C71" s="2" t="s">
        <v>90</v>
      </c>
      <c r="D71" s="2" t="s">
        <v>47</v>
      </c>
      <c r="E71" s="2">
        <v>2</v>
      </c>
      <c r="H71" t="str">
        <f>_xlfn.XLOOKUP(C71, Sheet1!B$2:B$48, Sheet1!A$2:A$48, "")</f>
        <v>ft601_gpio[0]</v>
      </c>
    </row>
    <row r="72" spans="1:8">
      <c r="A72" s="2" t="s">
        <v>86</v>
      </c>
      <c r="B72" s="2">
        <v>22</v>
      </c>
      <c r="C72" s="2" t="s">
        <v>91</v>
      </c>
      <c r="D72" s="2" t="s">
        <v>48</v>
      </c>
      <c r="E72" s="2">
        <v>2</v>
      </c>
      <c r="F72" s="2" t="s">
        <v>181</v>
      </c>
      <c r="H72" t="str">
        <f>_xlfn.XLOOKUP(C72, Sheet1!B$2:B$48, Sheet1!A$2:A$48, "")</f>
        <v>ft601_gpio[1]</v>
      </c>
    </row>
    <row r="73" spans="1:8">
      <c r="A73" s="2" t="s">
        <v>86</v>
      </c>
      <c r="B73" s="2">
        <v>24</v>
      </c>
      <c r="C73" s="2" t="s">
        <v>260</v>
      </c>
      <c r="D73" s="2" t="s">
        <v>247</v>
      </c>
      <c r="E73" s="2">
        <v>2</v>
      </c>
      <c r="F73" s="2" t="s">
        <v>181</v>
      </c>
      <c r="H73" t="str">
        <f>_xlfn.XLOOKUP(C73, Sheet1!B$2:B$48, Sheet1!A$2:A$48, "")</f>
        <v>ft601_be[1]</v>
      </c>
    </row>
    <row r="74" spans="1:8">
      <c r="A74" s="2" t="s">
        <v>86</v>
      </c>
      <c r="B74" s="2">
        <v>26</v>
      </c>
      <c r="C74" s="2" t="s">
        <v>261</v>
      </c>
      <c r="D74" s="2" t="s">
        <v>248</v>
      </c>
      <c r="E74" s="2">
        <v>2</v>
      </c>
      <c r="F74" s="2" t="s">
        <v>181</v>
      </c>
      <c r="H74" t="str">
        <f>_xlfn.XLOOKUP(C74, Sheet1!B$2:B$48, Sheet1!A$2:A$48, "")</f>
        <v>ft601_be[0]</v>
      </c>
    </row>
    <row r="75" spans="1:8">
      <c r="A75" s="2" t="s">
        <v>86</v>
      </c>
      <c r="B75" s="2">
        <v>28</v>
      </c>
      <c r="C75" s="2" t="s">
        <v>262</v>
      </c>
      <c r="D75" s="2" t="s">
        <v>249</v>
      </c>
      <c r="E75" s="2">
        <v>2</v>
      </c>
      <c r="F75" s="2" t="s">
        <v>181</v>
      </c>
      <c r="H75" t="str">
        <f>_xlfn.XLOOKUP(C75, Sheet1!B$2:B$48, Sheet1!A$2:A$48, "")</f>
        <v>ft601_data[31]</v>
      </c>
    </row>
    <row r="76" spans="1:8">
      <c r="A76" s="2" t="s">
        <v>86</v>
      </c>
      <c r="B76" s="2">
        <v>30</v>
      </c>
      <c r="C76" s="2" t="s">
        <v>263</v>
      </c>
      <c r="D76" s="2" t="s">
        <v>250</v>
      </c>
      <c r="E76" s="2">
        <v>3</v>
      </c>
      <c r="F76" s="2" t="s">
        <v>181</v>
      </c>
      <c r="H76" t="str">
        <f>_xlfn.XLOOKUP(C76, Sheet1!B$2:B$48, Sheet1!A$2:A$48, "")</f>
        <v>ft601_data[30]</v>
      </c>
    </row>
    <row r="77" spans="1:8">
      <c r="A77" s="2" t="s">
        <v>86</v>
      </c>
      <c r="B77" s="2">
        <v>32</v>
      </c>
      <c r="C77" s="2" t="s">
        <v>264</v>
      </c>
      <c r="D77" s="2" t="s">
        <v>251</v>
      </c>
      <c r="E77" s="2">
        <v>3</v>
      </c>
      <c r="F77" s="2" t="s">
        <v>181</v>
      </c>
      <c r="H77" t="str">
        <f>_xlfn.XLOOKUP(C77, Sheet1!B$2:B$48, Sheet1!A$2:A$48, "")</f>
        <v>ft601_wakeup</v>
      </c>
    </row>
    <row r="78" spans="1:8">
      <c r="A78" s="2" t="s">
        <v>86</v>
      </c>
      <c r="B78" s="2">
        <v>34</v>
      </c>
      <c r="C78" s="2" t="s">
        <v>265</v>
      </c>
      <c r="D78" s="2" t="s">
        <v>252</v>
      </c>
      <c r="E78" s="2">
        <v>3</v>
      </c>
      <c r="F78" s="2" t="s">
        <v>181</v>
      </c>
      <c r="H78" t="str">
        <f>_xlfn.XLOOKUP(C78, Sheet1!B$2:B$48, Sheet1!A$2:A$48, "")</f>
        <v/>
      </c>
    </row>
    <row r="79" spans="1:8">
      <c r="A79" s="2" t="s">
        <v>86</v>
      </c>
      <c r="B79" s="2">
        <v>36</v>
      </c>
      <c r="C79" s="2" t="s">
        <v>266</v>
      </c>
      <c r="D79" s="2" t="s">
        <v>253</v>
      </c>
      <c r="E79" s="2">
        <v>3</v>
      </c>
      <c r="F79" s="2" t="s">
        <v>181</v>
      </c>
      <c r="H79" t="str">
        <f>_xlfn.XLOOKUP(C79, Sheet1!B$2:B$48, Sheet1!A$2:A$48, "")</f>
        <v/>
      </c>
    </row>
    <row r="80" spans="1:8">
      <c r="A80" s="2" t="s">
        <v>86</v>
      </c>
      <c r="B80" s="2">
        <v>38</v>
      </c>
      <c r="D80" s="2" t="s">
        <v>254</v>
      </c>
      <c r="H80" t="str">
        <f>_xlfn.XLOOKUP(C80, Sheet1!B$2:B$48, Sheet1!A$2:A$48, "")</f>
        <v/>
      </c>
    </row>
    <row r="81" spans="1:8">
      <c r="A81" s="2" t="s">
        <v>86</v>
      </c>
      <c r="B81" s="2">
        <v>40</v>
      </c>
      <c r="D81" s="2" t="s">
        <v>254</v>
      </c>
      <c r="H81" t="str">
        <f>_xlfn.XLOOKUP(C81, Sheet1!B$2:B$48, Sheet1!A$2:A$48, "")</f>
        <v/>
      </c>
    </row>
    <row r="82" spans="1:8">
      <c r="A82" s="2" t="s">
        <v>86</v>
      </c>
      <c r="B82" s="2">
        <v>42</v>
      </c>
      <c r="D82" s="2" t="s">
        <v>255</v>
      </c>
      <c r="H82" t="str">
        <f>_xlfn.XLOOKUP(C82, Sheet1!B$2:B$48, Sheet1!A$2:A$48, "")</f>
        <v/>
      </c>
    </row>
    <row r="83" spans="1:8">
      <c r="A83" s="2" t="s">
        <v>86</v>
      </c>
      <c r="B83" s="2">
        <v>44</v>
      </c>
      <c r="D83" s="2" t="s">
        <v>255</v>
      </c>
      <c r="H83" t="str">
        <f>_xlfn.XLOOKUP(C83, Sheet1!B$2:B$48, Sheet1!A$2:A$48, "")</f>
        <v/>
      </c>
    </row>
    <row r="84" spans="1:8">
      <c r="A84" s="2" t="s">
        <v>86</v>
      </c>
      <c r="B84" s="2">
        <v>46</v>
      </c>
      <c r="D84" s="2" t="s">
        <v>256</v>
      </c>
      <c r="H84" t="str">
        <f>_xlfn.XLOOKUP(C84, Sheet1!B$2:B$48, Sheet1!A$2:A$48, "")</f>
        <v/>
      </c>
    </row>
    <row r="85" spans="1:8">
      <c r="A85" s="2" t="s">
        <v>86</v>
      </c>
      <c r="B85" s="2">
        <v>48</v>
      </c>
      <c r="D85" s="2" t="s">
        <v>256</v>
      </c>
      <c r="H85" t="str">
        <f>_xlfn.XLOOKUP(C85, Sheet1!B$2:B$48, Sheet1!A$2:A$48, "")</f>
        <v/>
      </c>
    </row>
    <row r="86" spans="1:8">
      <c r="A86" s="2" t="s">
        <v>86</v>
      </c>
      <c r="B86" s="2">
        <v>50</v>
      </c>
      <c r="D86" s="2" t="s">
        <v>256</v>
      </c>
      <c r="H86" t="str">
        <f>_xlfn.XLOOKUP(C86, Sheet1!B$2:B$48, Sheet1!A$2:A$48, "")</f>
        <v/>
      </c>
    </row>
    <row r="87" spans="1:8">
      <c r="A87" s="2" t="s">
        <v>86</v>
      </c>
      <c r="B87" s="2">
        <v>52</v>
      </c>
      <c r="D87" s="2" t="s">
        <v>257</v>
      </c>
      <c r="H87" t="str">
        <f>_xlfn.XLOOKUP(C87, Sheet1!B$2:B$48, Sheet1!A$2:A$48, "")</f>
        <v/>
      </c>
    </row>
    <row r="88" spans="1:8">
      <c r="A88" s="2" t="s">
        <v>86</v>
      </c>
      <c r="B88" s="2">
        <v>54</v>
      </c>
      <c r="D88" s="2" t="s">
        <v>257</v>
      </c>
      <c r="H88" t="str">
        <f>_xlfn.XLOOKUP(C88, Sheet1!B$2:B$48, Sheet1!A$2:A$48, "")</f>
        <v/>
      </c>
    </row>
    <row r="89" spans="1:8">
      <c r="A89" s="2" t="s">
        <v>86</v>
      </c>
      <c r="B89" s="2">
        <v>56</v>
      </c>
      <c r="D89" s="2" t="s">
        <v>257</v>
      </c>
      <c r="H89" t="str">
        <f>_xlfn.XLOOKUP(C89, Sheet1!B$2:B$48, Sheet1!A$2:A$48, "")</f>
        <v/>
      </c>
    </row>
    <row r="90" spans="1:8">
      <c r="A90" s="2" t="s">
        <v>86</v>
      </c>
      <c r="B90" s="2">
        <v>58</v>
      </c>
      <c r="D90" s="2" t="s">
        <v>257</v>
      </c>
      <c r="H90" t="str">
        <f>_xlfn.XLOOKUP(C90, Sheet1!B$2:B$48, Sheet1!A$2:A$48, "")</f>
        <v/>
      </c>
    </row>
    <row r="91" spans="1:8">
      <c r="A91" s="2" t="s">
        <v>86</v>
      </c>
      <c r="B91" s="2">
        <v>60</v>
      </c>
      <c r="D91" s="2" t="s">
        <v>257</v>
      </c>
      <c r="H91" t="str">
        <f>_xlfn.XLOOKUP(C91, Sheet1!B$2:B$48, Sheet1!A$2:A$48, "")</f>
        <v/>
      </c>
    </row>
    <row r="92" spans="1:8">
      <c r="A92" s="2" t="s">
        <v>86</v>
      </c>
      <c r="B92" s="2">
        <v>1</v>
      </c>
      <c r="D92" s="2" t="s">
        <v>180</v>
      </c>
      <c r="H92" t="str">
        <f>_xlfn.XLOOKUP(C92, Sheet1!B$2:B$48, Sheet1!A$2:A$48, "")</f>
        <v/>
      </c>
    </row>
    <row r="93" spans="1:8">
      <c r="A93" s="2" t="s">
        <v>86</v>
      </c>
      <c r="B93" s="2">
        <v>3</v>
      </c>
      <c r="C93" s="2" t="s">
        <v>275</v>
      </c>
      <c r="D93" s="2" t="s">
        <v>267</v>
      </c>
      <c r="E93" s="2">
        <v>5</v>
      </c>
      <c r="G93">
        <v>3.3</v>
      </c>
      <c r="H93" t="str">
        <f>_xlfn.XLOOKUP(C93, Sheet1!B$2:B$48, Sheet1!A$2:A$48, "")</f>
        <v/>
      </c>
    </row>
    <row r="94" spans="1:8">
      <c r="A94" s="2" t="s">
        <v>86</v>
      </c>
      <c r="B94" s="2">
        <v>5</v>
      </c>
      <c r="C94" s="2" t="s">
        <v>276</v>
      </c>
      <c r="D94" s="2" t="s">
        <v>268</v>
      </c>
      <c r="E94" s="2">
        <v>5</v>
      </c>
      <c r="G94">
        <v>3.3</v>
      </c>
      <c r="H94" t="str">
        <f>_xlfn.XLOOKUP(C94, Sheet1!B$2:B$48, Sheet1!A$2:A$48, "")</f>
        <v/>
      </c>
    </row>
    <row r="95" spans="1:8">
      <c r="A95" s="2" t="s">
        <v>86</v>
      </c>
      <c r="B95" s="2">
        <v>7</v>
      </c>
      <c r="C95" s="2" t="s">
        <v>277</v>
      </c>
      <c r="D95" s="2" t="s">
        <v>269</v>
      </c>
      <c r="E95" s="2">
        <v>5</v>
      </c>
      <c r="F95" s="2" t="s">
        <v>181</v>
      </c>
      <c r="G95">
        <v>3.3</v>
      </c>
      <c r="H95" t="str">
        <f>_xlfn.XLOOKUP(C95, Sheet1!B$2:B$48, Sheet1!A$2:A$48, "")</f>
        <v/>
      </c>
    </row>
    <row r="96" spans="1:8">
      <c r="A96" s="2" t="s">
        <v>86</v>
      </c>
      <c r="B96" s="2">
        <v>9</v>
      </c>
      <c r="C96" s="2" t="s">
        <v>278</v>
      </c>
      <c r="D96" s="2" t="s">
        <v>270</v>
      </c>
      <c r="E96" s="2">
        <v>5</v>
      </c>
      <c r="F96" s="2" t="s">
        <v>181</v>
      </c>
      <c r="G96">
        <v>3.3</v>
      </c>
      <c r="H96" t="str">
        <f>_xlfn.XLOOKUP(C96, Sheet1!B$2:B$48, Sheet1!A$2:A$48, "")</f>
        <v/>
      </c>
    </row>
    <row r="97" spans="1:8">
      <c r="A97" s="2" t="s">
        <v>86</v>
      </c>
      <c r="B97" s="2">
        <v>11</v>
      </c>
      <c r="C97" s="2" t="s">
        <v>279</v>
      </c>
      <c r="D97" s="2" t="s">
        <v>271</v>
      </c>
      <c r="E97" s="2">
        <v>5</v>
      </c>
      <c r="G97">
        <v>3.3</v>
      </c>
      <c r="H97" t="str">
        <f>_xlfn.XLOOKUP(C97, Sheet1!B$2:B$48, Sheet1!A$2:A$48, "")</f>
        <v/>
      </c>
    </row>
    <row r="98" spans="1:8">
      <c r="A98" s="2" t="s">
        <v>86</v>
      </c>
      <c r="B98" s="2">
        <v>13</v>
      </c>
      <c r="C98" s="2" t="s">
        <v>280</v>
      </c>
      <c r="D98" s="2" t="s">
        <v>272</v>
      </c>
      <c r="E98" s="2">
        <v>5</v>
      </c>
      <c r="G98">
        <v>3.3</v>
      </c>
      <c r="H98" t="str">
        <f>_xlfn.XLOOKUP(C98, Sheet1!B$2:B$48, Sheet1!A$2:A$48, "")</f>
        <v/>
      </c>
    </row>
    <row r="99" spans="1:8">
      <c r="A99" s="2" t="s">
        <v>86</v>
      </c>
      <c r="B99" s="2">
        <v>15</v>
      </c>
      <c r="C99" s="2" t="s">
        <v>281</v>
      </c>
      <c r="D99" s="2" t="s">
        <v>273</v>
      </c>
      <c r="E99" s="2">
        <v>5</v>
      </c>
      <c r="F99" s="2" t="s">
        <v>181</v>
      </c>
      <c r="G99">
        <v>3.3</v>
      </c>
      <c r="H99" t="str">
        <f>_xlfn.XLOOKUP(C99, Sheet1!B$2:B$48, Sheet1!A$2:A$48, "")</f>
        <v/>
      </c>
    </row>
    <row r="100" spans="1:8">
      <c r="A100" s="2" t="s">
        <v>86</v>
      </c>
      <c r="B100" s="2">
        <v>17</v>
      </c>
      <c r="C100" s="2" t="s">
        <v>282</v>
      </c>
      <c r="D100" s="2" t="s">
        <v>274</v>
      </c>
      <c r="E100" s="2">
        <v>5</v>
      </c>
      <c r="G100">
        <v>3.3</v>
      </c>
      <c r="H100" t="str">
        <f>_xlfn.XLOOKUP(C100, Sheet1!B$2:B$48, Sheet1!A$2:A$48, "")</f>
        <v/>
      </c>
    </row>
    <row r="101" spans="1:8">
      <c r="A101" s="2" t="s">
        <v>86</v>
      </c>
      <c r="B101" s="2">
        <v>19</v>
      </c>
      <c r="D101" s="2" t="s">
        <v>180</v>
      </c>
      <c r="H101" t="str">
        <f>_xlfn.XLOOKUP(C101, Sheet1!B$2:B$48, Sheet1!A$2:A$48, "")</f>
        <v/>
      </c>
    </row>
    <row r="102" spans="1:8">
      <c r="A102" s="2" t="s">
        <v>86</v>
      </c>
      <c r="B102" s="2">
        <v>21</v>
      </c>
      <c r="C102" s="2" t="s">
        <v>298</v>
      </c>
      <c r="D102" s="2" t="s">
        <v>284</v>
      </c>
      <c r="E102" s="2">
        <v>10</v>
      </c>
      <c r="G102">
        <v>3.3</v>
      </c>
      <c r="H102" t="str">
        <f>_xlfn.XLOOKUP(C102, Sheet1!B$2:B$48, Sheet1!A$2:A$48, "")</f>
        <v/>
      </c>
    </row>
    <row r="103" spans="1:8">
      <c r="A103" s="2" t="s">
        <v>86</v>
      </c>
      <c r="B103" s="2">
        <v>23</v>
      </c>
      <c r="C103" s="2" t="s">
        <v>299</v>
      </c>
      <c r="D103" s="2" t="s">
        <v>285</v>
      </c>
      <c r="E103" s="2">
        <v>10</v>
      </c>
      <c r="G103">
        <v>3.3</v>
      </c>
      <c r="H103" t="str">
        <f>_xlfn.XLOOKUP(C103, Sheet1!B$2:B$48, Sheet1!A$2:A$48, "")</f>
        <v/>
      </c>
    </row>
    <row r="104" spans="1:8">
      <c r="A104" s="2" t="s">
        <v>86</v>
      </c>
      <c r="B104" s="2">
        <v>25</v>
      </c>
      <c r="C104" s="2" t="s">
        <v>300</v>
      </c>
      <c r="D104" s="2" t="s">
        <v>286</v>
      </c>
      <c r="E104" s="2">
        <v>10</v>
      </c>
      <c r="G104">
        <v>3.3</v>
      </c>
      <c r="H104" t="str">
        <f>_xlfn.XLOOKUP(C104, Sheet1!B$2:B$48, Sheet1!A$2:A$48, "")</f>
        <v/>
      </c>
    </row>
    <row r="105" spans="1:8">
      <c r="A105" s="2" t="s">
        <v>86</v>
      </c>
      <c r="B105" s="2">
        <v>27</v>
      </c>
      <c r="C105" s="2" t="s">
        <v>301</v>
      </c>
      <c r="D105" s="2" t="s">
        <v>287</v>
      </c>
      <c r="E105" s="2">
        <v>10</v>
      </c>
      <c r="G105">
        <v>3.3</v>
      </c>
      <c r="H105" t="str">
        <f>_xlfn.XLOOKUP(C105, Sheet1!B$2:B$48, Sheet1!A$2:A$48, "")</f>
        <v/>
      </c>
    </row>
    <row r="106" spans="1:8">
      <c r="A106" s="2" t="s">
        <v>86</v>
      </c>
      <c r="B106" s="2">
        <v>29</v>
      </c>
      <c r="D106" s="2" t="s">
        <v>180</v>
      </c>
      <c r="H106" t="str">
        <f>_xlfn.XLOOKUP(C106, Sheet1!B$2:B$48, Sheet1!A$2:A$48, "")</f>
        <v/>
      </c>
    </row>
    <row r="107" spans="1:8">
      <c r="A107" s="2" t="s">
        <v>86</v>
      </c>
      <c r="B107" s="2">
        <v>31</v>
      </c>
      <c r="D107" s="2" t="s">
        <v>288</v>
      </c>
      <c r="H107" t="str">
        <f>_xlfn.XLOOKUP(C107, Sheet1!B$2:B$48, Sheet1!A$2:A$48, "")</f>
        <v/>
      </c>
    </row>
    <row r="108" spans="1:8">
      <c r="A108" s="2" t="s">
        <v>86</v>
      </c>
      <c r="B108" s="2">
        <v>33</v>
      </c>
      <c r="D108" s="2" t="s">
        <v>289</v>
      </c>
      <c r="H108" t="str">
        <f>_xlfn.XLOOKUP(C108, Sheet1!B$2:B$48, Sheet1!A$2:A$48, "")</f>
        <v/>
      </c>
    </row>
    <row r="109" spans="1:8">
      <c r="A109" s="2" t="s">
        <v>86</v>
      </c>
      <c r="B109" s="2">
        <v>35</v>
      </c>
      <c r="D109" s="2" t="s">
        <v>180</v>
      </c>
      <c r="H109" t="str">
        <f>_xlfn.XLOOKUP(C109, Sheet1!B$2:B$48, Sheet1!A$2:A$48, "")</f>
        <v/>
      </c>
    </row>
    <row r="110" spans="1:8">
      <c r="A110" s="2" t="s">
        <v>86</v>
      </c>
      <c r="B110" s="2">
        <v>37</v>
      </c>
      <c r="D110" s="2" t="s">
        <v>290</v>
      </c>
      <c r="H110" t="str">
        <f>_xlfn.XLOOKUP(C110, Sheet1!B$2:B$48, Sheet1!A$2:A$48, "")</f>
        <v/>
      </c>
    </row>
    <row r="111" spans="1:8">
      <c r="A111" s="2" t="s">
        <v>86</v>
      </c>
      <c r="B111" s="2">
        <v>39</v>
      </c>
      <c r="D111" s="2" t="s">
        <v>291</v>
      </c>
      <c r="H111" t="str">
        <f>_xlfn.XLOOKUP(C111, Sheet1!B$2:B$48, Sheet1!A$2:A$48, "")</f>
        <v/>
      </c>
    </row>
    <row r="112" spans="1:8">
      <c r="A112" s="2" t="s">
        <v>86</v>
      </c>
      <c r="B112" s="2">
        <v>41</v>
      </c>
      <c r="D112" s="2" t="s">
        <v>180</v>
      </c>
      <c r="H112" t="str">
        <f>_xlfn.XLOOKUP(C112, Sheet1!B$2:B$48, Sheet1!A$2:A$48, "")</f>
        <v/>
      </c>
    </row>
    <row r="113" spans="1:8">
      <c r="A113" s="2" t="s">
        <v>86</v>
      </c>
      <c r="B113" s="2">
        <v>43</v>
      </c>
      <c r="D113" s="2" t="s">
        <v>292</v>
      </c>
      <c r="H113" t="str">
        <f>_xlfn.XLOOKUP(C113, Sheet1!B$2:B$48, Sheet1!A$2:A$48, "")</f>
        <v/>
      </c>
    </row>
    <row r="114" spans="1:8">
      <c r="A114" s="2" t="s">
        <v>86</v>
      </c>
      <c r="B114" s="2">
        <v>45</v>
      </c>
      <c r="D114" s="2" t="s">
        <v>293</v>
      </c>
      <c r="H114" t="str">
        <f>_xlfn.XLOOKUP(C114, Sheet1!B$2:B$48, Sheet1!A$2:A$48, "")</f>
        <v/>
      </c>
    </row>
    <row r="115" spans="1:8">
      <c r="A115" s="2" t="s">
        <v>86</v>
      </c>
      <c r="B115" s="2">
        <v>47</v>
      </c>
      <c r="D115" s="2" t="s">
        <v>180</v>
      </c>
      <c r="H115" t="str">
        <f>_xlfn.XLOOKUP(C115, Sheet1!B$2:B$48, Sheet1!A$2:A$48, "")</f>
        <v/>
      </c>
    </row>
    <row r="116" spans="1:8">
      <c r="A116" s="2" t="s">
        <v>86</v>
      </c>
      <c r="B116" s="2">
        <v>49</v>
      </c>
      <c r="D116" s="2" t="s">
        <v>294</v>
      </c>
      <c r="H116" t="str">
        <f>_xlfn.XLOOKUP(C116, Sheet1!B$2:B$48, Sheet1!A$2:A$48, "")</f>
        <v/>
      </c>
    </row>
    <row r="117" spans="1:8">
      <c r="A117" s="2" t="s">
        <v>86</v>
      </c>
      <c r="B117" s="2">
        <v>51</v>
      </c>
      <c r="D117" s="2" t="s">
        <v>295</v>
      </c>
      <c r="H117" t="str">
        <f>_xlfn.XLOOKUP(C117, Sheet1!B$2:B$48, Sheet1!A$2:A$48, "")</f>
        <v/>
      </c>
    </row>
    <row r="118" spans="1:8">
      <c r="A118" s="2" t="s">
        <v>86</v>
      </c>
      <c r="B118" s="2">
        <v>53</v>
      </c>
      <c r="D118" s="2" t="s">
        <v>180</v>
      </c>
      <c r="H118" t="str">
        <f>_xlfn.XLOOKUP(C118, Sheet1!B$2:B$48, Sheet1!A$2:A$48, "")</f>
        <v/>
      </c>
    </row>
    <row r="119" spans="1:8">
      <c r="A119" s="2" t="s">
        <v>86</v>
      </c>
      <c r="B119" s="2">
        <v>55</v>
      </c>
      <c r="D119" s="2" t="s">
        <v>296</v>
      </c>
      <c r="H119" t="str">
        <f>_xlfn.XLOOKUP(C119, Sheet1!B$2:B$48, Sheet1!A$2:A$48, "")</f>
        <v/>
      </c>
    </row>
    <row r="120" spans="1:8">
      <c r="A120" s="2" t="s">
        <v>86</v>
      </c>
      <c r="B120" s="2">
        <v>57</v>
      </c>
      <c r="D120" s="2" t="s">
        <v>297</v>
      </c>
      <c r="H120" t="str">
        <f>_xlfn.XLOOKUP(C120, Sheet1!B$2:B$48, Sheet1!A$2:A$48, "")</f>
        <v/>
      </c>
    </row>
    <row r="121" spans="1:8">
      <c r="A121" s="2" t="s">
        <v>86</v>
      </c>
      <c r="B121" s="2">
        <v>59</v>
      </c>
      <c r="D121" s="2" t="s">
        <v>180</v>
      </c>
      <c r="H121" t="str">
        <f>_xlfn.XLOOKUP(C121, Sheet1!B$2:B$48, Sheet1!A$2:A$48, 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渕上竜司</dc:creator>
  <cp:lastModifiedBy>竜司 渕上</cp:lastModifiedBy>
  <dcterms:created xsi:type="dcterms:W3CDTF">2015-06-05T18:19:34Z</dcterms:created>
  <dcterms:modified xsi:type="dcterms:W3CDTF">2026-05-11T00:00:19Z</dcterms:modified>
</cp:coreProperties>
</file>
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e643ea309c96c6f6/Documents/Development/kicad/rtcl-tp25k-usb3/doc/"/>
    </mc:Choice>
  </mc:AlternateContent>
  <xr:revisionPtr revIDLastSave="631" documentId="13_ncr:1_{704F26EB-9FE7-473F-96D3-0C973174CAC9}" xr6:coauthVersionLast="47" xr6:coauthVersionMax="47" xr10:uidLastSave="{7839B63E-99C9-4EAD-9557-C4B5F641D4B1}"/>
  <bookViews>
    <workbookView xWindow="57480" yWindow="16080" windowWidth="29040" windowHeight="15720" activeTab="1" xr2:uid="{00000000-000D-0000-FFFF-FFFF00000000}"/>
  </bookViews>
  <sheets>
    <sheet name="Sheet1" sheetId="1" r:id="rId1"/>
    <sheet name="Sheet2" sheetId="2" r:id="rId2"/>
  </sheets>
  <definedNames>
    <definedName name="_xlnm._FilterDatabase" localSheetId="1" hidden="1">Sheet2!$A$1:$J$1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2" i="2" l="1"/>
  <c r="I77" i="2"/>
  <c r="J77" i="2" s="1"/>
  <c r="I76" i="2"/>
  <c r="J76" i="2" s="1"/>
  <c r="I39" i="2"/>
  <c r="J39" i="2" s="1"/>
  <c r="I40" i="2"/>
  <c r="J40" i="2" s="1"/>
  <c r="I41" i="2"/>
  <c r="J41" i="2" s="1"/>
  <c r="I42" i="2"/>
  <c r="J91" i="2"/>
  <c r="J92" i="2"/>
  <c r="J86" i="2"/>
  <c r="J98" i="2"/>
  <c r="J102" i="2"/>
  <c r="J97" i="2"/>
  <c r="J101" i="2"/>
  <c r="J95" i="2"/>
  <c r="J96" i="2"/>
  <c r="J99" i="2"/>
  <c r="J103" i="2"/>
  <c r="J122" i="2"/>
  <c r="J100" i="2"/>
  <c r="J104" i="2"/>
  <c r="J90" i="2"/>
  <c r="J89" i="2"/>
  <c r="J88" i="2"/>
  <c r="J87" i="2"/>
  <c r="J115" i="2"/>
  <c r="J114" i="2"/>
  <c r="J105" i="2"/>
  <c r="J111" i="2"/>
  <c r="J110" i="2"/>
  <c r="J113" i="2"/>
  <c r="J37" i="2"/>
  <c r="J109" i="2"/>
  <c r="J108" i="2"/>
  <c r="J107" i="2"/>
  <c r="J106" i="2"/>
  <c r="J117" i="2"/>
  <c r="J116" i="2"/>
  <c r="J94" i="2"/>
  <c r="J112" i="2"/>
  <c r="I36" i="2"/>
  <c r="I35" i="2"/>
  <c r="J35" i="2" s="1"/>
  <c r="I34" i="2"/>
  <c r="J34" i="2" s="1"/>
  <c r="I33" i="2"/>
  <c r="J33" i="2" s="1"/>
  <c r="I32" i="2"/>
  <c r="J32" i="2" s="1"/>
  <c r="I31" i="2"/>
  <c r="J31" i="2" s="1"/>
  <c r="I30" i="2"/>
  <c r="J30" i="2" s="1"/>
  <c r="I29" i="2"/>
  <c r="J29" i="2" s="1"/>
  <c r="I28" i="2"/>
  <c r="J28" i="2" s="1"/>
  <c r="I27" i="2"/>
  <c r="J27" i="2" s="1"/>
  <c r="I26" i="2"/>
  <c r="J26" i="2" s="1"/>
  <c r="I25" i="2"/>
  <c r="J25" i="2" s="1"/>
  <c r="I24" i="2"/>
  <c r="J24" i="2" s="1"/>
  <c r="I23" i="2"/>
  <c r="J23" i="2" s="1"/>
  <c r="I22" i="2"/>
  <c r="J22" i="2" s="1"/>
  <c r="I21" i="2"/>
  <c r="J21" i="2" s="1"/>
  <c r="I20" i="2"/>
  <c r="J20" i="2" s="1"/>
  <c r="I19" i="2"/>
  <c r="J19" i="2" s="1"/>
  <c r="I18" i="2"/>
  <c r="J18" i="2" s="1"/>
  <c r="I17" i="2"/>
  <c r="J17" i="2" s="1"/>
  <c r="I84" i="2"/>
  <c r="J84" i="2" s="1"/>
  <c r="I68" i="2"/>
  <c r="J68" i="2" s="1"/>
  <c r="I69" i="2"/>
  <c r="J69" i="2" s="1"/>
  <c r="I83" i="2"/>
  <c r="J83" i="2" s="1"/>
  <c r="I81" i="2"/>
  <c r="J81" i="2" s="1"/>
  <c r="I82" i="2"/>
  <c r="J82" i="2" s="1"/>
  <c r="I85" i="2"/>
  <c r="J85" i="2" s="1"/>
  <c r="I79" i="2"/>
  <c r="J79" i="2" s="1"/>
  <c r="I78" i="2"/>
  <c r="J78" i="2" s="1"/>
  <c r="I80" i="2"/>
  <c r="J80" i="2" s="1"/>
  <c r="I16" i="2"/>
  <c r="J16" i="2" s="1"/>
  <c r="I15" i="2"/>
  <c r="J15" i="2" s="1"/>
  <c r="I14" i="2"/>
  <c r="J14" i="2" s="1"/>
  <c r="J119" i="2"/>
  <c r="J118" i="2"/>
  <c r="J38" i="2"/>
  <c r="I13" i="2"/>
  <c r="J13" i="2" s="1"/>
  <c r="I66" i="2"/>
  <c r="J66" i="2" s="1"/>
  <c r="I65" i="2"/>
  <c r="J65" i="2" s="1"/>
  <c r="I64" i="2"/>
  <c r="J64" i="2" s="1"/>
  <c r="I63" i="2"/>
  <c r="J63" i="2" s="1"/>
  <c r="I62" i="2"/>
  <c r="J62" i="2" s="1"/>
  <c r="I12" i="2"/>
  <c r="J12" i="2" s="1"/>
  <c r="I11" i="2"/>
  <c r="J11" i="2" s="1"/>
  <c r="I10" i="2"/>
  <c r="J10" i="2" s="1"/>
  <c r="J121" i="2"/>
  <c r="J120" i="2"/>
  <c r="I9" i="2"/>
  <c r="J9" i="2" s="1"/>
  <c r="I61" i="2"/>
  <c r="J61" i="2" s="1"/>
  <c r="I60" i="2"/>
  <c r="J60" i="2" s="1"/>
  <c r="I59" i="2"/>
  <c r="J59" i="2" s="1"/>
  <c r="I58" i="2"/>
  <c r="J58" i="2" s="1"/>
  <c r="I57" i="2"/>
  <c r="J57" i="2" s="1"/>
  <c r="I55" i="2"/>
  <c r="J55" i="2" s="1"/>
  <c r="I8" i="2"/>
  <c r="J8" i="2" s="1"/>
  <c r="I7" i="2"/>
  <c r="J7" i="2" s="1"/>
  <c r="J93" i="2"/>
  <c r="I6" i="2"/>
  <c r="J6" i="2" s="1"/>
  <c r="I44" i="2"/>
  <c r="J44" i="2" s="1"/>
  <c r="I45" i="2"/>
  <c r="J45" i="2" s="1"/>
  <c r="I56" i="2"/>
  <c r="J56" i="2" s="1"/>
  <c r="I67" i="2"/>
  <c r="J67" i="2" s="1"/>
  <c r="I70" i="2"/>
  <c r="J70" i="2" s="1"/>
  <c r="I71" i="2"/>
  <c r="J71" i="2" s="1"/>
  <c r="I72" i="2"/>
  <c r="J72" i="2" s="1"/>
  <c r="I73" i="2"/>
  <c r="J73" i="2" s="1"/>
  <c r="I74" i="2"/>
  <c r="J74" i="2" s="1"/>
  <c r="I75" i="2"/>
  <c r="J75" i="2" s="1"/>
  <c r="I5" i="2"/>
  <c r="J5" i="2" s="1"/>
  <c r="I4" i="2"/>
  <c r="J4" i="2" s="1"/>
  <c r="I3" i="2"/>
  <c r="J3" i="2" s="1"/>
  <c r="I46" i="2"/>
  <c r="J46" i="2" s="1"/>
  <c r="I47" i="2"/>
  <c r="J47" i="2" s="1"/>
  <c r="I48" i="2"/>
  <c r="J48" i="2" s="1"/>
  <c r="I49" i="2"/>
  <c r="J49" i="2" s="1"/>
  <c r="I50" i="2"/>
  <c r="J50" i="2" s="1"/>
  <c r="I51" i="2"/>
  <c r="J51" i="2" s="1"/>
  <c r="I43" i="2"/>
  <c r="J43" i="2" s="1"/>
  <c r="I54" i="2"/>
  <c r="J54" i="2" s="1"/>
  <c r="I53" i="2"/>
  <c r="J53" i="2" s="1"/>
  <c r="I52" i="2"/>
  <c r="J52" i="2" s="1"/>
  <c r="I2" i="2"/>
  <c r="J2" i="2" s="1"/>
</calcChain>
</file>

<file path=xl/sharedStrings.xml><?xml version="1.0" encoding="utf-8"?>
<sst xmlns="http://schemas.openxmlformats.org/spreadsheetml/2006/main" count="591" uniqueCount="354">
  <si>
    <t>ft601_gpio[0]</t>
    <phoneticPr fontId="1"/>
  </si>
  <si>
    <t>ft601_be[0]</t>
    <phoneticPr fontId="1"/>
  </si>
  <si>
    <t>ft601_be[1]</t>
  </si>
  <si>
    <t>ft601_be[2]</t>
  </si>
  <si>
    <t>ft601_be[3]</t>
  </si>
  <si>
    <t>ft601_data[0]</t>
    <phoneticPr fontId="1"/>
  </si>
  <si>
    <t>ft601_data[1]</t>
  </si>
  <si>
    <t>ft601_data[2]</t>
  </si>
  <si>
    <t>ft601_data[3]</t>
  </si>
  <si>
    <t>ft601_data[4]</t>
  </si>
  <si>
    <t>ft601_data[5]</t>
  </si>
  <si>
    <t>ft601_data[6]</t>
  </si>
  <si>
    <t>ft601_data[7]</t>
  </si>
  <si>
    <t>ft601_data[8]</t>
  </si>
  <si>
    <t>ft601_data[9]</t>
  </si>
  <si>
    <t>ft601_data[10]</t>
  </si>
  <si>
    <t>ft601_data[11]</t>
  </si>
  <si>
    <t>ft601_data[12]</t>
  </si>
  <si>
    <t>ft601_data[13]</t>
  </si>
  <si>
    <t>ft601_data[14]</t>
  </si>
  <si>
    <t>ft601_data[15]</t>
  </si>
  <si>
    <t>ft601_data[16]</t>
  </si>
  <si>
    <t>ft601_data[17]</t>
  </si>
  <si>
    <t>ft601_data[18]</t>
  </si>
  <si>
    <t>ft601_data[19]</t>
  </si>
  <si>
    <t>ft601_data[20]</t>
  </si>
  <si>
    <t>ft601_data[21]</t>
  </si>
  <si>
    <t>ft601_data[22]</t>
  </si>
  <si>
    <t>ft601_data[23]</t>
  </si>
  <si>
    <t>ft601_data[24]</t>
  </si>
  <si>
    <t>ft601_data[25]</t>
  </si>
  <si>
    <t>ft601_data[26]</t>
  </si>
  <si>
    <t>ft601_data[27]</t>
  </si>
  <si>
    <t>ft601_data[28]</t>
  </si>
  <si>
    <t>ft601_data[29]</t>
  </si>
  <si>
    <t>ft601_data[30]</t>
  </si>
  <si>
    <t>ft601_data[31]</t>
  </si>
  <si>
    <t>D10_IOL9B</t>
  </si>
  <si>
    <t>K4_IOR22B_40P</t>
  </si>
  <si>
    <t>J4_IOR22A_40P</t>
  </si>
  <si>
    <t>K2_IOR20B_40P</t>
  </si>
  <si>
    <t>K1_IOR20A_40P</t>
  </si>
  <si>
    <t>L1_IOR18B_40P</t>
  </si>
  <si>
    <t>G1_IOR24B_40P</t>
  </si>
  <si>
    <t>L4_IOR31A_40P</t>
  </si>
  <si>
    <t>L11_IOT11B</t>
  </si>
  <si>
    <t>K11_IOT11A</t>
  </si>
  <si>
    <t>K10_IOT15B_40P</t>
  </si>
  <si>
    <t>L10_IOT15A_40P</t>
  </si>
  <si>
    <t>L8_IOT19B_40P</t>
  </si>
  <si>
    <t>L7_IOT19A_40P</t>
  </si>
  <si>
    <t>J7_IOT21B_40P</t>
  </si>
  <si>
    <t>K7_IOT21A_40P</t>
  </si>
  <si>
    <t>K6_IOT23B_USB_N</t>
  </si>
  <si>
    <t>L6_IOT23A_USB_P</t>
  </si>
  <si>
    <t>G5_IOT72B</t>
  </si>
  <si>
    <t>F5_IOT72A</t>
  </si>
  <si>
    <t>G8_IOT68B</t>
  </si>
  <si>
    <t>G7_IOT68A</t>
  </si>
  <si>
    <t>H7_IOT66B</t>
  </si>
  <si>
    <t>H8_IOT66A</t>
  </si>
  <si>
    <t>K5_IOT63B</t>
  </si>
  <si>
    <t>H5_IOT61A</t>
  </si>
  <si>
    <t>J5_IOT61B</t>
  </si>
  <si>
    <t>L5_IOT63A</t>
  </si>
  <si>
    <t>L9_IOT31A_40P</t>
  </si>
  <si>
    <t>K9_IOT31B_40P</t>
  </si>
  <si>
    <t>J8_IOT56A_40P</t>
  </si>
  <si>
    <t>K8_IOT56B_40P</t>
  </si>
  <si>
    <t>F7_IOT58A_40P</t>
  </si>
  <si>
    <t>F6_IOT58B_40P</t>
  </si>
  <si>
    <t>J11_IOT1A_40P</t>
  </si>
  <si>
    <t>J10_IOT1B_40P</t>
  </si>
  <si>
    <t>H11_IOT3A_S1</t>
  </si>
  <si>
    <t>H10_IOT3B_S2</t>
  </si>
  <si>
    <t>G11_IOT7A</t>
  </si>
  <si>
    <t>G10_IOT7B</t>
  </si>
  <si>
    <t>D11_IOL9A</t>
  </si>
  <si>
    <t>RTL</t>
    <phoneticPr fontId="1"/>
  </si>
  <si>
    <t>pin</t>
    <phoneticPr fontId="1"/>
  </si>
  <si>
    <t>K5</t>
    <phoneticPr fontId="1"/>
  </si>
  <si>
    <t>K4</t>
    <phoneticPr fontId="1"/>
  </si>
  <si>
    <t>J4</t>
    <phoneticPr fontId="1"/>
  </si>
  <si>
    <t>K2</t>
    <phoneticPr fontId="1"/>
  </si>
  <si>
    <t>K1</t>
    <phoneticPr fontId="1"/>
  </si>
  <si>
    <t>L1</t>
    <phoneticPr fontId="1"/>
  </si>
  <si>
    <t>G1</t>
    <phoneticPr fontId="1"/>
  </si>
  <si>
    <t>L4</t>
    <phoneticPr fontId="1"/>
  </si>
  <si>
    <t>L11</t>
    <phoneticPr fontId="1"/>
  </si>
  <si>
    <t>K11</t>
    <phoneticPr fontId="1"/>
  </si>
  <si>
    <t>K10</t>
    <phoneticPr fontId="1"/>
  </si>
  <si>
    <t>L10</t>
    <phoneticPr fontId="1"/>
  </si>
  <si>
    <t>L8</t>
    <phoneticPr fontId="1"/>
  </si>
  <si>
    <t>L7</t>
    <phoneticPr fontId="1"/>
  </si>
  <si>
    <t>J7</t>
    <phoneticPr fontId="1"/>
  </si>
  <si>
    <t>K7</t>
    <phoneticPr fontId="1"/>
  </si>
  <si>
    <t>K6</t>
    <phoneticPr fontId="1"/>
  </si>
  <si>
    <t>L6</t>
    <phoneticPr fontId="1"/>
  </si>
  <si>
    <t>G5</t>
    <phoneticPr fontId="1"/>
  </si>
  <si>
    <t>F5</t>
    <phoneticPr fontId="1"/>
  </si>
  <si>
    <t>G8</t>
    <phoneticPr fontId="1"/>
  </si>
  <si>
    <t>G7</t>
    <phoneticPr fontId="1"/>
  </si>
  <si>
    <t>H7</t>
    <phoneticPr fontId="1"/>
  </si>
  <si>
    <t>H8</t>
    <phoneticPr fontId="1"/>
  </si>
  <si>
    <t>H5</t>
    <phoneticPr fontId="1"/>
  </si>
  <si>
    <t>J5</t>
    <phoneticPr fontId="1"/>
  </si>
  <si>
    <t>L5</t>
    <phoneticPr fontId="1"/>
  </si>
  <si>
    <t>L9</t>
    <phoneticPr fontId="1"/>
  </si>
  <si>
    <t>K9</t>
    <phoneticPr fontId="1"/>
  </si>
  <si>
    <t>J8</t>
    <phoneticPr fontId="1"/>
  </si>
  <si>
    <t>K8</t>
    <phoneticPr fontId="1"/>
  </si>
  <si>
    <t>F7</t>
    <phoneticPr fontId="1"/>
  </si>
  <si>
    <t>F6</t>
    <phoneticPr fontId="1"/>
  </si>
  <si>
    <t>J11</t>
    <phoneticPr fontId="1"/>
  </si>
  <si>
    <t>J10</t>
    <phoneticPr fontId="1"/>
  </si>
  <si>
    <t>H11</t>
    <phoneticPr fontId="1"/>
  </si>
  <si>
    <t>H10</t>
    <phoneticPr fontId="1"/>
  </si>
  <si>
    <t>G11</t>
    <phoneticPr fontId="1"/>
  </si>
  <si>
    <t>SoMネット名</t>
    <rPh sb="6" eb="7">
      <t>メイ</t>
    </rPh>
    <phoneticPr fontId="1"/>
  </si>
  <si>
    <t>FT601ネット名</t>
    <rPh sb="8" eb="9">
      <t>メイ</t>
    </rPh>
    <phoneticPr fontId="1"/>
  </si>
  <si>
    <t>FT601_BE0</t>
  </si>
  <si>
    <t>FT601_BE1</t>
  </si>
  <si>
    <t>FT601_BE2</t>
  </si>
  <si>
    <t>FT601_BE3</t>
  </si>
  <si>
    <t>FT601_D0</t>
  </si>
  <si>
    <t>FT601_D1</t>
  </si>
  <si>
    <t>FT601_D2</t>
  </si>
  <si>
    <t>FT601_D3</t>
  </si>
  <si>
    <t>FT601_D4</t>
  </si>
  <si>
    <t>FT601_D5</t>
  </si>
  <si>
    <t>FT601_D6</t>
  </si>
  <si>
    <t>FT601_D7</t>
  </si>
  <si>
    <t>FT601_D8</t>
  </si>
  <si>
    <t>FT601_D9</t>
  </si>
  <si>
    <t>FT601_D10</t>
  </si>
  <si>
    <t>FT601_D11</t>
  </si>
  <si>
    <t>FT601_D12</t>
  </si>
  <si>
    <t>FT601_D13</t>
  </si>
  <si>
    <t>FT601_D14</t>
  </si>
  <si>
    <t>FT601_D15</t>
  </si>
  <si>
    <t>FT601_D16</t>
  </si>
  <si>
    <t>FT601_D17</t>
  </si>
  <si>
    <t>FT601_D18</t>
  </si>
  <si>
    <t>FT601_D19</t>
  </si>
  <si>
    <t>FT601_D20</t>
  </si>
  <si>
    <t>FT601_D21</t>
  </si>
  <si>
    <t>FT601_D22</t>
  </si>
  <si>
    <t>FT601_D23</t>
  </si>
  <si>
    <t>FT601_D24</t>
  </si>
  <si>
    <t>FT601_D25</t>
  </si>
  <si>
    <t>FT601_D26</t>
  </si>
  <si>
    <t>FT601_D27</t>
  </si>
  <si>
    <t>FT601_D28</t>
  </si>
  <si>
    <t>FT601_D29</t>
  </si>
  <si>
    <t>FT601_D30</t>
  </si>
  <si>
    <t>FT601_D31</t>
  </si>
  <si>
    <t>FT601_TXE</t>
    <phoneticPr fontId="1"/>
  </si>
  <si>
    <t>FT601_SIWU</t>
  </si>
  <si>
    <t>FT601_RXF</t>
    <phoneticPr fontId="1"/>
  </si>
  <si>
    <t>FT601_WR</t>
    <phoneticPr fontId="1"/>
  </si>
  <si>
    <t>FT601_RD</t>
    <phoneticPr fontId="1"/>
  </si>
  <si>
    <t>FT601_OE</t>
    <phoneticPr fontId="1"/>
  </si>
  <si>
    <t>FT601_GPIO0</t>
    <phoneticPr fontId="1"/>
  </si>
  <si>
    <t>FT601_GPIO1</t>
    <phoneticPr fontId="1"/>
  </si>
  <si>
    <t>FT601_CLK</t>
    <phoneticPr fontId="1"/>
  </si>
  <si>
    <t>ft601_clk</t>
    <phoneticPr fontId="1"/>
  </si>
  <si>
    <t>ft601_txe_n</t>
    <phoneticPr fontId="1"/>
  </si>
  <si>
    <t>ft601_rxf_n</t>
    <phoneticPr fontId="1"/>
  </si>
  <si>
    <t>ft601_siwu_n</t>
    <phoneticPr fontId="1"/>
  </si>
  <si>
    <t>ft601_wr_n</t>
    <phoneticPr fontId="1"/>
  </si>
  <si>
    <t>ft601_rd_n</t>
    <phoneticPr fontId="1"/>
  </si>
  <si>
    <t>ft601_oe_n</t>
    <phoneticPr fontId="1"/>
  </si>
  <si>
    <t>ft601_gpio[1]</t>
    <phoneticPr fontId="1"/>
  </si>
  <si>
    <t>conn</t>
    <phoneticPr fontId="1"/>
  </si>
  <si>
    <t>J3</t>
    <phoneticPr fontId="1"/>
  </si>
  <si>
    <t>VCCIO0_1</t>
  </si>
  <si>
    <t>GND</t>
    <phoneticPr fontId="1"/>
  </si>
  <si>
    <t>GCLK</t>
    <phoneticPr fontId="1"/>
  </si>
  <si>
    <t>E11_IOL3A</t>
  </si>
  <si>
    <t>E10_IOL3B</t>
  </si>
  <si>
    <t>A11_IOL14A</t>
  </si>
  <si>
    <t>A10_IOL14B</t>
  </si>
  <si>
    <t>E3_IOB60A_40P</t>
  </si>
  <si>
    <t>VCCIO6_7</t>
  </si>
  <si>
    <t>H5</t>
  </si>
  <si>
    <t>J5</t>
  </si>
  <si>
    <t>L5</t>
  </si>
  <si>
    <t>K5</t>
  </si>
  <si>
    <t>H8</t>
  </si>
  <si>
    <t>H7</t>
  </si>
  <si>
    <t>G7</t>
  </si>
  <si>
    <t>G8</t>
  </si>
  <si>
    <t>F5</t>
  </si>
  <si>
    <t>G5</t>
  </si>
  <si>
    <t>K11</t>
  </si>
  <si>
    <t>L11</t>
  </si>
  <si>
    <t>E11</t>
  </si>
  <si>
    <t>E10</t>
  </si>
  <si>
    <t>A10</t>
  </si>
  <si>
    <t>E8</t>
  </si>
  <si>
    <t>D7</t>
  </si>
  <si>
    <t>L6</t>
  </si>
  <si>
    <t>B3</t>
  </si>
  <si>
    <t>C3</t>
  </si>
  <si>
    <t>E3</t>
  </si>
  <si>
    <t>K6</t>
  </si>
  <si>
    <t>K7</t>
  </si>
  <si>
    <t>J7</t>
  </si>
  <si>
    <t>L7</t>
  </si>
  <si>
    <t>L8</t>
  </si>
  <si>
    <t>L10</t>
  </si>
  <si>
    <t>K10</t>
  </si>
  <si>
    <t>L9</t>
  </si>
  <si>
    <t>K9</t>
  </si>
  <si>
    <t>J8</t>
  </si>
  <si>
    <t>K8</t>
  </si>
  <si>
    <t>F7</t>
  </si>
  <si>
    <t>F6</t>
  </si>
  <si>
    <t>J11</t>
  </si>
  <si>
    <t>J10</t>
  </si>
  <si>
    <t>H11</t>
  </si>
  <si>
    <t>H10</t>
  </si>
  <si>
    <t>G11</t>
  </si>
  <si>
    <t>G10</t>
  </si>
  <si>
    <t>D11</t>
  </si>
  <si>
    <t>D10</t>
  </si>
  <si>
    <t>C11</t>
  </si>
  <si>
    <t>C10</t>
  </si>
  <si>
    <t>B11</t>
  </si>
  <si>
    <t>B10</t>
  </si>
  <si>
    <t>FPGA</t>
    <phoneticPr fontId="1"/>
  </si>
  <si>
    <t>NAME</t>
    <phoneticPr fontId="1"/>
  </si>
  <si>
    <t>bank</t>
    <phoneticPr fontId="1"/>
  </si>
  <si>
    <t>attr</t>
    <phoneticPr fontId="1"/>
  </si>
  <si>
    <t>Voltage</t>
    <phoneticPr fontId="1"/>
  </si>
  <si>
    <t>A11</t>
    <phoneticPr fontId="1"/>
  </si>
  <si>
    <t>VCCIO2_3</t>
  </si>
  <si>
    <t>L2_IOR18A_40P</t>
  </si>
  <si>
    <t>G2_IOR24A_40P</t>
  </si>
  <si>
    <t>L3_IOR31B_40P</t>
  </si>
  <si>
    <t>J1_IOR33A_40P</t>
  </si>
  <si>
    <t>J2_IOR33B_40P</t>
  </si>
  <si>
    <t>G4_IOB89A_40P</t>
  </si>
  <si>
    <t>H4_IOB89B_40P</t>
  </si>
  <si>
    <t>H1_IOB91A_40P</t>
  </si>
  <si>
    <t>H2_IOB91B_40P</t>
  </si>
  <si>
    <t>1.8V</t>
    <phoneticPr fontId="1"/>
  </si>
  <si>
    <t>2.5V</t>
    <phoneticPr fontId="1"/>
  </si>
  <si>
    <t>3.3V</t>
    <phoneticPr fontId="1"/>
  </si>
  <si>
    <t>5V</t>
    <phoneticPr fontId="1"/>
  </si>
  <si>
    <t>L2</t>
    <phoneticPr fontId="1"/>
  </si>
  <si>
    <t>G2</t>
    <phoneticPr fontId="1"/>
  </si>
  <si>
    <t>L3</t>
    <phoneticPr fontId="1"/>
  </si>
  <si>
    <t>J1</t>
    <phoneticPr fontId="1"/>
  </si>
  <si>
    <t>J2</t>
    <phoneticPr fontId="1"/>
  </si>
  <si>
    <t>G4</t>
    <phoneticPr fontId="1"/>
  </si>
  <si>
    <t>H4</t>
    <phoneticPr fontId="1"/>
  </si>
  <si>
    <t>H1</t>
    <phoneticPr fontId="1"/>
  </si>
  <si>
    <t>H2</t>
    <phoneticPr fontId="1"/>
  </si>
  <si>
    <t>C2_IOB4B_40P</t>
  </si>
  <si>
    <t>F2_IOB26A_40P</t>
  </si>
  <si>
    <t>F1_IOB26B_40P</t>
  </si>
  <si>
    <t>A1_IOB24A_40P</t>
  </si>
  <si>
    <t>E1_IOB12B_40P</t>
  </si>
  <si>
    <t>D1_IOB14B_40P</t>
  </si>
  <si>
    <t>B2</t>
    <phoneticPr fontId="1"/>
  </si>
  <si>
    <t>C2</t>
    <phoneticPr fontId="1"/>
  </si>
  <si>
    <t>F2</t>
    <phoneticPr fontId="1"/>
  </si>
  <si>
    <t>F1</t>
    <phoneticPr fontId="1"/>
  </si>
  <si>
    <t>A1</t>
    <phoneticPr fontId="1"/>
  </si>
  <si>
    <t>D8</t>
    <phoneticPr fontId="1"/>
  </si>
  <si>
    <t>E1</t>
    <phoneticPr fontId="1"/>
  </si>
  <si>
    <t>D1</t>
    <phoneticPr fontId="1"/>
  </si>
  <si>
    <t>RPLL</t>
    <phoneticPr fontId="1"/>
  </si>
  <si>
    <t>C1_JTAG_TCK</t>
  </si>
  <si>
    <t>B1_JTAG_TMS</t>
  </si>
  <si>
    <t>A2_JTAG_TDO</t>
  </si>
  <si>
    <t>A3_JTAG_TDI</t>
  </si>
  <si>
    <t>M0_D3_P</t>
    <phoneticPr fontId="1"/>
  </si>
  <si>
    <t>M0_D3_N</t>
    <phoneticPr fontId="1"/>
  </si>
  <si>
    <t>M0_D2_P</t>
    <phoneticPr fontId="1"/>
  </si>
  <si>
    <t>M0_D2_N</t>
    <phoneticPr fontId="1"/>
  </si>
  <si>
    <t>M0_CK_P</t>
    <phoneticPr fontId="1"/>
  </si>
  <si>
    <t>M0_CK_N</t>
    <phoneticPr fontId="1"/>
  </si>
  <si>
    <t>M0_D1_P</t>
    <phoneticPr fontId="1"/>
  </si>
  <si>
    <t>M0_D1_N</t>
    <phoneticPr fontId="1"/>
  </si>
  <si>
    <t>M0_D0_P</t>
    <phoneticPr fontId="1"/>
  </si>
  <si>
    <t>M0_D0_N</t>
    <phoneticPr fontId="1"/>
  </si>
  <si>
    <t>C1</t>
    <phoneticPr fontId="1"/>
  </si>
  <si>
    <t>B1</t>
    <phoneticPr fontId="1"/>
  </si>
  <si>
    <t>A2</t>
    <phoneticPr fontId="1"/>
  </si>
  <si>
    <t>A3</t>
    <phoneticPr fontId="1"/>
  </si>
  <si>
    <t>ft601_reset_n</t>
    <phoneticPr fontId="1"/>
  </si>
  <si>
    <t>ft601_wakeup</t>
    <phoneticPr fontId="1"/>
  </si>
  <si>
    <t>FT601_RESET</t>
  </si>
  <si>
    <t>FT601_WAKEUP</t>
  </si>
  <si>
    <t>JTAG</t>
    <phoneticPr fontId="1"/>
  </si>
  <si>
    <t>mipi_ck_p</t>
  </si>
  <si>
    <t>mipi_ck_n</t>
    <phoneticPr fontId="1"/>
  </si>
  <si>
    <t>mipi_d_p[3]</t>
    <phoneticPr fontId="1"/>
  </si>
  <si>
    <t>mipi_d_n[3]</t>
    <phoneticPr fontId="1"/>
  </si>
  <si>
    <t>mipi_d_p[2]</t>
    <phoneticPr fontId="1"/>
  </si>
  <si>
    <t>mipi_d_n[2]</t>
    <phoneticPr fontId="1"/>
  </si>
  <si>
    <t>mipi_d_p[1]</t>
    <phoneticPr fontId="1"/>
  </si>
  <si>
    <t>mipi_d_n[1]</t>
    <phoneticPr fontId="1"/>
  </si>
  <si>
    <t>mipi_pwr_en</t>
    <phoneticPr fontId="1"/>
  </si>
  <si>
    <t>mipi_scl</t>
    <phoneticPr fontId="1"/>
  </si>
  <si>
    <t>mipi_sda</t>
    <phoneticPr fontId="1"/>
  </si>
  <si>
    <t>led[0]</t>
    <phoneticPr fontId="1"/>
  </si>
  <si>
    <t>E8_READY</t>
    <phoneticPr fontId="1"/>
  </si>
  <si>
    <t>B3_IOB56A_UART_RX</t>
    <phoneticPr fontId="1"/>
  </si>
  <si>
    <t>C3_IOB56B_UART_TX</t>
    <phoneticPr fontId="1"/>
  </si>
  <si>
    <t>D7_DONE</t>
    <phoneticPr fontId="1"/>
  </si>
  <si>
    <t>D8_RECONFIG</t>
    <phoneticPr fontId="1"/>
  </si>
  <si>
    <t>B2_IOB4A_40P</t>
    <phoneticPr fontId="1"/>
  </si>
  <si>
    <t>E2</t>
  </si>
  <si>
    <t>IOB12A</t>
    <phoneticPr fontId="1"/>
  </si>
  <si>
    <t>LOC</t>
    <phoneticPr fontId="1"/>
  </si>
  <si>
    <t>in_clk50</t>
    <phoneticPr fontId="1"/>
  </si>
  <si>
    <t>K7_IOT21A_40P</t>
    <phoneticPr fontId="1"/>
  </si>
  <si>
    <t>pmod[0]</t>
    <phoneticPr fontId="1"/>
  </si>
  <si>
    <t>pmod[1]</t>
    <phoneticPr fontId="1"/>
  </si>
  <si>
    <t>pmod[2]</t>
    <phoneticPr fontId="1"/>
  </si>
  <si>
    <t>pmod[3]</t>
    <phoneticPr fontId="1"/>
  </si>
  <si>
    <t>pmod[4]</t>
    <phoneticPr fontId="1"/>
  </si>
  <si>
    <t>pmod[5]</t>
    <phoneticPr fontId="1"/>
  </si>
  <si>
    <t>pmod[7]</t>
    <phoneticPr fontId="1"/>
  </si>
  <si>
    <t>pmod[6]</t>
    <phoneticPr fontId="1"/>
  </si>
  <si>
    <t>mipi_gpio[0]</t>
    <phoneticPr fontId="1"/>
  </si>
  <si>
    <t>mipi_gpio[1]</t>
    <phoneticPr fontId="1"/>
  </si>
  <si>
    <t>led[1]</t>
  </si>
  <si>
    <t>led[2]</t>
  </si>
  <si>
    <t>led[3]</t>
  </si>
  <si>
    <t>push_sw[0]</t>
    <phoneticPr fontId="1"/>
  </si>
  <si>
    <t>push_sw[1]</t>
    <phoneticPr fontId="1"/>
  </si>
  <si>
    <t>dip_sw[0]</t>
    <phoneticPr fontId="1"/>
  </si>
  <si>
    <t>dip_sw[1]</t>
  </si>
  <si>
    <t>test[0]</t>
    <phoneticPr fontId="1"/>
  </si>
  <si>
    <t>test[1]</t>
    <phoneticPr fontId="1"/>
  </si>
  <si>
    <t>A5</t>
    <phoneticPr fontId="1"/>
  </si>
  <si>
    <t>B5</t>
    <phoneticPr fontId="1"/>
  </si>
  <si>
    <t>A6</t>
    <phoneticPr fontId="1"/>
  </si>
  <si>
    <t>B6</t>
    <phoneticPr fontId="1"/>
  </si>
  <si>
    <t>A7</t>
    <phoneticPr fontId="1"/>
  </si>
  <si>
    <t>B7</t>
    <phoneticPr fontId="1"/>
  </si>
  <si>
    <t>A8</t>
    <phoneticPr fontId="1"/>
  </si>
  <si>
    <t>B8</t>
    <phoneticPr fontId="1"/>
  </si>
  <si>
    <t>A9</t>
    <phoneticPr fontId="1"/>
  </si>
  <si>
    <t>B9</t>
    <phoneticPr fontId="1"/>
  </si>
  <si>
    <t>No.</t>
    <phoneticPr fontId="1"/>
  </si>
  <si>
    <t>B11_IOL12A</t>
    <phoneticPr fontId="1"/>
  </si>
  <si>
    <t>B10_IOL12B</t>
    <phoneticPr fontId="1"/>
  </si>
  <si>
    <t>C11_IOL5A</t>
    <phoneticPr fontId="1"/>
  </si>
  <si>
    <t>C10_IOL5B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</si>
</sst>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0" borderId="0" xfId="0" applyAlignment="1">
      <alignment horizontal="center"/>
    </xf>
    <xf numFmtId="0" fontId="0" fillId="0" borderId="2" xfId="0" applyBorder="1"/>
    <xf numFmtId="0" fontId="0" fillId="0" borderId="2" xfId="0" applyBorder="1" applyAlignment="1">
      <alignment horizontal="center"/>
    </xf>
    <xf numFmtId="0" fontId="0" fillId="0" borderId="4" xfId="0" applyBorder="1"/>
    <xf numFmtId="0" fontId="0" fillId="0" borderId="4" xfId="0" applyBorder="1" applyAlignment="1">
      <alignment horizontal="center"/>
    </xf>
    <xf numFmtId="0" fontId="0" fillId="0" borderId="3" xfId="0" applyBorder="1"/>
    <xf numFmtId="0" fontId="0" fillId="0" borderId="3" xfId="0" applyBorder="1" applyAlignment="1">
      <alignment horizontal="center"/>
    </xf>
    <xf numFmtId="0" fontId="0" fillId="0" borderId="3" xfId="0" applyFill="1" applyBorder="1" applyAlignment="1">
      <alignment horizont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8"/>
  <sheetViews>
    <sheetView workbookViewId="0">
      <selection activeCell="B11" sqref="B11"/>
    </sheetView>
  </sheetViews>
  <sheetFormatPr defaultRowHeight="18"/>
  <cols>
    <col min="1" max="2" width="15.1640625" customWidth="1"/>
    <col min="3" max="3" width="22" customWidth="1"/>
    <col min="4" max="4" width="19.75" customWidth="1"/>
  </cols>
  <sheetData>
    <row r="1" spans="1:4" ht="18.5" thickBot="1">
      <c r="A1" s="1" t="s">
        <v>78</v>
      </c>
      <c r="B1" s="1" t="s">
        <v>79</v>
      </c>
      <c r="C1" s="1" t="s">
        <v>118</v>
      </c>
      <c r="D1" s="1" t="s">
        <v>119</v>
      </c>
    </row>
    <row r="2" spans="1:4" ht="18.5" thickTop="1">
      <c r="A2" t="s">
        <v>165</v>
      </c>
      <c r="B2" t="s">
        <v>80</v>
      </c>
      <c r="C2" t="s">
        <v>61</v>
      </c>
      <c r="D2" t="s">
        <v>164</v>
      </c>
    </row>
    <row r="3" spans="1:4">
      <c r="A3" t="s">
        <v>166</v>
      </c>
      <c r="B3" t="s">
        <v>251</v>
      </c>
      <c r="C3" t="s">
        <v>238</v>
      </c>
      <c r="D3" t="s">
        <v>156</v>
      </c>
    </row>
    <row r="4" spans="1:4">
      <c r="A4" t="s">
        <v>167</v>
      </c>
      <c r="B4" t="s">
        <v>81</v>
      </c>
      <c r="C4" t="s">
        <v>38</v>
      </c>
      <c r="D4" t="s">
        <v>158</v>
      </c>
    </row>
    <row r="5" spans="1:4">
      <c r="A5" t="s">
        <v>168</v>
      </c>
      <c r="B5" t="s">
        <v>82</v>
      </c>
      <c r="C5" t="s">
        <v>39</v>
      </c>
      <c r="D5" t="s">
        <v>157</v>
      </c>
    </row>
    <row r="6" spans="1:4">
      <c r="A6" t="s">
        <v>169</v>
      </c>
      <c r="B6" t="s">
        <v>83</v>
      </c>
      <c r="C6" t="s">
        <v>40</v>
      </c>
      <c r="D6" t="s">
        <v>159</v>
      </c>
    </row>
    <row r="7" spans="1:4">
      <c r="A7" t="s">
        <v>170</v>
      </c>
      <c r="B7" t="s">
        <v>84</v>
      </c>
      <c r="C7" t="s">
        <v>41</v>
      </c>
      <c r="D7" t="s">
        <v>160</v>
      </c>
    </row>
    <row r="8" spans="1:4">
      <c r="A8" t="s">
        <v>171</v>
      </c>
      <c r="B8" t="s">
        <v>85</v>
      </c>
      <c r="C8" t="s">
        <v>42</v>
      </c>
      <c r="D8" t="s">
        <v>161</v>
      </c>
    </row>
    <row r="9" spans="1:4">
      <c r="A9" t="s">
        <v>0</v>
      </c>
      <c r="B9" t="s">
        <v>257</v>
      </c>
      <c r="C9" t="s">
        <v>43</v>
      </c>
      <c r="D9" t="s">
        <v>162</v>
      </c>
    </row>
    <row r="10" spans="1:4">
      <c r="A10" t="s">
        <v>172</v>
      </c>
      <c r="B10" t="s">
        <v>258</v>
      </c>
      <c r="C10" t="s">
        <v>44</v>
      </c>
      <c r="D10" t="s">
        <v>163</v>
      </c>
    </row>
    <row r="11" spans="1:4">
      <c r="A11" t="s">
        <v>1</v>
      </c>
      <c r="B11" t="s">
        <v>253</v>
      </c>
      <c r="C11" t="s">
        <v>240</v>
      </c>
      <c r="D11" t="s">
        <v>120</v>
      </c>
    </row>
    <row r="12" spans="1:4">
      <c r="A12" t="s">
        <v>2</v>
      </c>
      <c r="B12" t="s">
        <v>252</v>
      </c>
      <c r="C12" t="s">
        <v>239</v>
      </c>
      <c r="D12" t="s">
        <v>121</v>
      </c>
    </row>
    <row r="13" spans="1:4">
      <c r="A13" t="s">
        <v>3</v>
      </c>
      <c r="B13" t="s">
        <v>87</v>
      </c>
      <c r="C13" t="s">
        <v>44</v>
      </c>
      <c r="D13" t="s">
        <v>122</v>
      </c>
    </row>
    <row r="14" spans="1:4">
      <c r="A14" t="s">
        <v>4</v>
      </c>
      <c r="B14" t="s">
        <v>86</v>
      </c>
      <c r="C14" t="s">
        <v>43</v>
      </c>
      <c r="D14" t="s">
        <v>123</v>
      </c>
    </row>
    <row r="15" spans="1:4">
      <c r="A15" t="s">
        <v>5</v>
      </c>
      <c r="B15" t="s">
        <v>88</v>
      </c>
      <c r="C15" t="s">
        <v>45</v>
      </c>
      <c r="D15" t="s">
        <v>124</v>
      </c>
    </row>
    <row r="16" spans="1:4">
      <c r="A16" t="s">
        <v>6</v>
      </c>
      <c r="B16" t="s">
        <v>89</v>
      </c>
      <c r="C16" t="s">
        <v>46</v>
      </c>
      <c r="D16" t="s">
        <v>125</v>
      </c>
    </row>
    <row r="17" spans="1:4">
      <c r="A17" t="s">
        <v>7</v>
      </c>
      <c r="B17" t="s">
        <v>90</v>
      </c>
      <c r="C17" t="s">
        <v>47</v>
      </c>
      <c r="D17" t="s">
        <v>126</v>
      </c>
    </row>
    <row r="18" spans="1:4">
      <c r="A18" t="s">
        <v>8</v>
      </c>
      <c r="B18" t="s">
        <v>91</v>
      </c>
      <c r="C18" t="s">
        <v>48</v>
      </c>
      <c r="D18" t="s">
        <v>127</v>
      </c>
    </row>
    <row r="19" spans="1:4">
      <c r="A19" t="s">
        <v>9</v>
      </c>
      <c r="B19" t="s">
        <v>92</v>
      </c>
      <c r="C19" t="s">
        <v>49</v>
      </c>
      <c r="D19" t="s">
        <v>128</v>
      </c>
    </row>
    <row r="20" spans="1:4">
      <c r="A20" t="s">
        <v>10</v>
      </c>
      <c r="B20" t="s">
        <v>93</v>
      </c>
      <c r="C20" t="s">
        <v>50</v>
      </c>
      <c r="D20" t="s">
        <v>129</v>
      </c>
    </row>
    <row r="21" spans="1:4">
      <c r="A21" t="s">
        <v>11</v>
      </c>
      <c r="B21" t="s">
        <v>94</v>
      </c>
      <c r="C21" t="s">
        <v>51</v>
      </c>
      <c r="D21" t="s">
        <v>130</v>
      </c>
    </row>
    <row r="22" spans="1:4">
      <c r="A22" t="s">
        <v>12</v>
      </c>
      <c r="B22" t="s">
        <v>95</v>
      </c>
      <c r="C22" t="s">
        <v>52</v>
      </c>
      <c r="D22" t="s">
        <v>131</v>
      </c>
    </row>
    <row r="23" spans="1:4">
      <c r="A23" t="s">
        <v>13</v>
      </c>
      <c r="B23" t="s">
        <v>96</v>
      </c>
      <c r="C23" t="s">
        <v>53</v>
      </c>
      <c r="D23" t="s">
        <v>132</v>
      </c>
    </row>
    <row r="24" spans="1:4">
      <c r="A24" t="s">
        <v>14</v>
      </c>
      <c r="B24" t="s">
        <v>97</v>
      </c>
      <c r="C24" t="s">
        <v>54</v>
      </c>
      <c r="D24" t="s">
        <v>133</v>
      </c>
    </row>
    <row r="25" spans="1:4">
      <c r="A25" t="s">
        <v>15</v>
      </c>
      <c r="B25" t="s">
        <v>98</v>
      </c>
      <c r="C25" t="s">
        <v>55</v>
      </c>
      <c r="D25" t="s">
        <v>134</v>
      </c>
    </row>
    <row r="26" spans="1:4">
      <c r="A26" t="s">
        <v>16</v>
      </c>
      <c r="B26" t="s">
        <v>99</v>
      </c>
      <c r="C26" t="s">
        <v>56</v>
      </c>
      <c r="D26" t="s">
        <v>135</v>
      </c>
    </row>
    <row r="27" spans="1:4">
      <c r="A27" t="s">
        <v>17</v>
      </c>
      <c r="B27" t="s">
        <v>100</v>
      </c>
      <c r="C27" t="s">
        <v>57</v>
      </c>
      <c r="D27" t="s">
        <v>136</v>
      </c>
    </row>
    <row r="28" spans="1:4">
      <c r="A28" t="s">
        <v>18</v>
      </c>
      <c r="B28" t="s">
        <v>101</v>
      </c>
      <c r="C28" t="s">
        <v>58</v>
      </c>
      <c r="D28" t="s">
        <v>137</v>
      </c>
    </row>
    <row r="29" spans="1:4">
      <c r="A29" t="s">
        <v>19</v>
      </c>
      <c r="B29" t="s">
        <v>102</v>
      </c>
      <c r="C29" t="s">
        <v>59</v>
      </c>
      <c r="D29" t="s">
        <v>138</v>
      </c>
    </row>
    <row r="30" spans="1:4">
      <c r="A30" t="s">
        <v>20</v>
      </c>
      <c r="B30" t="s">
        <v>103</v>
      </c>
      <c r="C30" t="s">
        <v>60</v>
      </c>
      <c r="D30" t="s">
        <v>139</v>
      </c>
    </row>
    <row r="31" spans="1:4">
      <c r="A31" t="s">
        <v>21</v>
      </c>
      <c r="B31" t="s">
        <v>104</v>
      </c>
      <c r="C31" t="s">
        <v>62</v>
      </c>
      <c r="D31" t="s">
        <v>140</v>
      </c>
    </row>
    <row r="32" spans="1:4">
      <c r="A32" t="s">
        <v>22</v>
      </c>
      <c r="B32" t="s">
        <v>105</v>
      </c>
      <c r="C32" t="s">
        <v>63</v>
      </c>
      <c r="D32" t="s">
        <v>141</v>
      </c>
    </row>
    <row r="33" spans="1:4">
      <c r="A33" t="s">
        <v>23</v>
      </c>
      <c r="B33" t="s">
        <v>106</v>
      </c>
      <c r="C33" t="s">
        <v>64</v>
      </c>
      <c r="D33" t="s">
        <v>142</v>
      </c>
    </row>
    <row r="34" spans="1:4">
      <c r="A34" t="s">
        <v>24</v>
      </c>
      <c r="B34" t="s">
        <v>107</v>
      </c>
      <c r="C34" t="s">
        <v>65</v>
      </c>
      <c r="D34" t="s">
        <v>143</v>
      </c>
    </row>
    <row r="35" spans="1:4">
      <c r="A35" t="s">
        <v>25</v>
      </c>
      <c r="B35" t="s">
        <v>108</v>
      </c>
      <c r="C35" t="s">
        <v>66</v>
      </c>
      <c r="D35" t="s">
        <v>144</v>
      </c>
    </row>
    <row r="36" spans="1:4">
      <c r="A36" t="s">
        <v>26</v>
      </c>
      <c r="B36" t="s">
        <v>109</v>
      </c>
      <c r="C36" t="s">
        <v>67</v>
      </c>
      <c r="D36" t="s">
        <v>145</v>
      </c>
    </row>
    <row r="37" spans="1:4">
      <c r="A37" t="s">
        <v>27</v>
      </c>
      <c r="B37" t="s">
        <v>110</v>
      </c>
      <c r="C37" t="s">
        <v>68</v>
      </c>
      <c r="D37" t="s">
        <v>146</v>
      </c>
    </row>
    <row r="38" spans="1:4">
      <c r="A38" t="s">
        <v>28</v>
      </c>
      <c r="B38" t="s">
        <v>111</v>
      </c>
      <c r="C38" t="s">
        <v>69</v>
      </c>
      <c r="D38" t="s">
        <v>147</v>
      </c>
    </row>
    <row r="39" spans="1:4">
      <c r="A39" t="s">
        <v>29</v>
      </c>
      <c r="B39" t="s">
        <v>112</v>
      </c>
      <c r="C39" t="s">
        <v>70</v>
      </c>
      <c r="D39" t="s">
        <v>148</v>
      </c>
    </row>
    <row r="40" spans="1:4">
      <c r="A40" t="s">
        <v>30</v>
      </c>
      <c r="B40" t="s">
        <v>113</v>
      </c>
      <c r="C40" t="s">
        <v>71</v>
      </c>
      <c r="D40" t="s">
        <v>149</v>
      </c>
    </row>
    <row r="41" spans="1:4">
      <c r="A41" t="s">
        <v>31</v>
      </c>
      <c r="B41" t="s">
        <v>114</v>
      </c>
      <c r="C41" t="s">
        <v>72</v>
      </c>
      <c r="D41" t="s">
        <v>150</v>
      </c>
    </row>
    <row r="42" spans="1:4">
      <c r="A42" t="s">
        <v>32</v>
      </c>
      <c r="B42" t="s">
        <v>115</v>
      </c>
      <c r="C42" t="s">
        <v>73</v>
      </c>
      <c r="D42" t="s">
        <v>151</v>
      </c>
    </row>
    <row r="43" spans="1:4">
      <c r="A43" t="s">
        <v>33</v>
      </c>
      <c r="B43" t="s">
        <v>116</v>
      </c>
      <c r="C43" t="s">
        <v>74</v>
      </c>
      <c r="D43" t="s">
        <v>152</v>
      </c>
    </row>
    <row r="44" spans="1:4">
      <c r="A44" t="s">
        <v>34</v>
      </c>
      <c r="B44" t="s">
        <v>117</v>
      </c>
      <c r="C44" t="s">
        <v>75</v>
      </c>
      <c r="D44" t="s">
        <v>153</v>
      </c>
    </row>
    <row r="45" spans="1:4">
      <c r="A45" t="s">
        <v>35</v>
      </c>
      <c r="B45" t="s">
        <v>255</v>
      </c>
      <c r="C45" t="s">
        <v>242</v>
      </c>
      <c r="D45" t="s">
        <v>154</v>
      </c>
    </row>
    <row r="46" spans="1:4">
      <c r="A46" t="s">
        <v>36</v>
      </c>
      <c r="B46" t="s">
        <v>254</v>
      </c>
      <c r="C46" t="s">
        <v>241</v>
      </c>
      <c r="D46" t="s">
        <v>155</v>
      </c>
    </row>
    <row r="47" spans="1:4">
      <c r="A47" t="s">
        <v>292</v>
      </c>
      <c r="B47" t="s">
        <v>250</v>
      </c>
      <c r="C47" t="s">
        <v>237</v>
      </c>
      <c r="D47" t="s">
        <v>294</v>
      </c>
    </row>
    <row r="48" spans="1:4">
      <c r="A48" t="s">
        <v>293</v>
      </c>
      <c r="B48" t="s">
        <v>256</v>
      </c>
      <c r="C48" t="s">
        <v>243</v>
      </c>
      <c r="D48" t="s">
        <v>295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AF74A9-B8B3-40D7-B10A-54925D8C7E75}">
  <dimension ref="A1:J122"/>
  <sheetViews>
    <sheetView tabSelected="1" topLeftCell="A24" workbookViewId="0">
      <selection activeCell="E38" sqref="E38"/>
    </sheetView>
  </sheetViews>
  <sheetFormatPr defaultRowHeight="18"/>
  <cols>
    <col min="2" max="4" width="8.6640625" style="2"/>
    <col min="5" max="5" width="20.5" style="2" bestFit="1" customWidth="1"/>
    <col min="6" max="6" width="15.33203125" style="2" bestFit="1" customWidth="1"/>
    <col min="7" max="7" width="8.6640625" style="2"/>
    <col min="8" max="8" width="11.08203125" customWidth="1"/>
    <col min="9" max="9" width="18.9140625" customWidth="1"/>
    <col min="10" max="10" width="35" customWidth="1"/>
  </cols>
  <sheetData>
    <row r="1" spans="1:10" ht="18.5" thickBot="1">
      <c r="A1" s="7" t="s">
        <v>349</v>
      </c>
      <c r="B1" s="8" t="s">
        <v>173</v>
      </c>
      <c r="C1" s="8" t="s">
        <v>79</v>
      </c>
      <c r="D1" s="8" t="s">
        <v>230</v>
      </c>
      <c r="E1" s="8" t="s">
        <v>231</v>
      </c>
      <c r="F1" s="8" t="s">
        <v>232</v>
      </c>
      <c r="G1" s="8" t="s">
        <v>233</v>
      </c>
      <c r="H1" s="8" t="s">
        <v>234</v>
      </c>
      <c r="I1" s="9" t="s">
        <v>78</v>
      </c>
      <c r="J1" s="9" t="s">
        <v>317</v>
      </c>
    </row>
    <row r="2" spans="1:10" ht="18.5" thickTop="1">
      <c r="A2" s="5">
        <v>1</v>
      </c>
      <c r="B2" s="6" t="s">
        <v>174</v>
      </c>
      <c r="C2" s="6">
        <v>2</v>
      </c>
      <c r="D2" s="6"/>
      <c r="E2" s="6" t="s">
        <v>176</v>
      </c>
      <c r="F2" s="6">
        <v>0</v>
      </c>
      <c r="G2" s="6"/>
      <c r="H2" s="5"/>
      <c r="I2" s="5" t="str">
        <f>_xlfn.XLOOKUP(D2, Sheet1!B$2:B$48, Sheet1!A$2:A$48, "")</f>
        <v/>
      </c>
      <c r="J2" s="5" t="str">
        <f>IF(I2&lt;&gt;"","IO_LOC """&amp;I2&amp;""" "&amp;D2&amp;";", "")</f>
        <v/>
      </c>
    </row>
    <row r="3" spans="1:10">
      <c r="A3" s="3">
        <v>12</v>
      </c>
      <c r="B3" s="4" t="s">
        <v>174</v>
      </c>
      <c r="C3" s="4">
        <v>24</v>
      </c>
      <c r="D3" s="4"/>
      <c r="E3" s="4" t="s">
        <v>175</v>
      </c>
      <c r="F3" s="4"/>
      <c r="G3" s="4"/>
      <c r="H3" s="3"/>
      <c r="I3" s="3" t="str">
        <f>_xlfn.XLOOKUP(D3, Sheet1!B$2:B$48, Sheet1!A$2:A$48, "")</f>
        <v/>
      </c>
      <c r="J3" s="3" t="str">
        <f>IF(I3&lt;&gt;"","IO_LOC """&amp;I3&amp;""" "&amp;D3&amp;";", "")</f>
        <v/>
      </c>
    </row>
    <row r="4" spans="1:10">
      <c r="A4" s="3">
        <v>13</v>
      </c>
      <c r="B4" s="4" t="s">
        <v>174</v>
      </c>
      <c r="C4" s="4">
        <v>26</v>
      </c>
      <c r="D4" s="4"/>
      <c r="E4" s="4" t="s">
        <v>175</v>
      </c>
      <c r="F4" s="4"/>
      <c r="G4" s="4"/>
      <c r="H4" s="3"/>
      <c r="I4" s="3" t="str">
        <f>_xlfn.XLOOKUP(D4, Sheet1!B$2:B$48, Sheet1!A$2:A$48, "")</f>
        <v/>
      </c>
      <c r="J4" s="3" t="str">
        <f>IF(I4&lt;&gt;"","IO_LOC """&amp;I4&amp;""" "&amp;D4&amp;";", "")</f>
        <v/>
      </c>
    </row>
    <row r="5" spans="1:10">
      <c r="A5" s="3">
        <v>14</v>
      </c>
      <c r="B5" s="4" t="s">
        <v>174</v>
      </c>
      <c r="C5" s="4">
        <v>28</v>
      </c>
      <c r="D5" s="4"/>
      <c r="E5" s="4" t="s">
        <v>176</v>
      </c>
      <c r="F5" s="4"/>
      <c r="G5" s="4"/>
      <c r="H5" s="3"/>
      <c r="I5" s="3" t="str">
        <f>_xlfn.XLOOKUP(D5, Sheet1!B$2:B$48, Sheet1!A$2:A$48, "")</f>
        <v/>
      </c>
      <c r="J5" s="3" t="str">
        <f>IF(I5&lt;&gt;"","IO_LOC """&amp;I5&amp;""" "&amp;D5&amp;";", "")</f>
        <v/>
      </c>
    </row>
    <row r="6" spans="1:10">
      <c r="A6" s="3">
        <v>25</v>
      </c>
      <c r="B6" s="4" t="s">
        <v>174</v>
      </c>
      <c r="C6" s="4">
        <v>50</v>
      </c>
      <c r="D6" s="4"/>
      <c r="E6" s="4" t="s">
        <v>176</v>
      </c>
      <c r="F6" s="4"/>
      <c r="G6" s="4"/>
      <c r="H6" s="3"/>
      <c r="I6" s="3" t="str">
        <f>_xlfn.XLOOKUP(D6, Sheet1!B$2:B$48, Sheet1!A$2:A$48, "")</f>
        <v/>
      </c>
      <c r="J6" s="3" t="str">
        <f>IF(I6&lt;&gt;"","IO_LOC """&amp;I6&amp;""" "&amp;D6&amp;";", "")</f>
        <v/>
      </c>
    </row>
    <row r="7" spans="1:10">
      <c r="A7" s="3">
        <v>30</v>
      </c>
      <c r="B7" s="4" t="s">
        <v>174</v>
      </c>
      <c r="C7" s="4">
        <v>60</v>
      </c>
      <c r="D7" s="4"/>
      <c r="E7" s="4" t="s">
        <v>176</v>
      </c>
      <c r="F7" s="4"/>
      <c r="G7" s="4"/>
      <c r="H7" s="3"/>
      <c r="I7" s="3" t="str">
        <f>_xlfn.XLOOKUP(D7, Sheet1!B$2:B$48, Sheet1!A$2:A$48, "")</f>
        <v/>
      </c>
      <c r="J7" s="3" t="str">
        <f>IF(I7&lt;&gt;"","IO_LOC """&amp;I7&amp;""" "&amp;D7&amp;";", "")</f>
        <v/>
      </c>
    </row>
    <row r="8" spans="1:10">
      <c r="A8" s="3">
        <v>31</v>
      </c>
      <c r="B8" s="4" t="s">
        <v>174</v>
      </c>
      <c r="C8" s="4">
        <v>1</v>
      </c>
      <c r="D8" s="4"/>
      <c r="E8" s="4" t="s">
        <v>176</v>
      </c>
      <c r="F8" s="4">
        <v>0</v>
      </c>
      <c r="G8" s="4"/>
      <c r="H8" s="3"/>
      <c r="I8" s="3" t="str">
        <f>_xlfn.XLOOKUP(D8, Sheet1!B$2:B$48, Sheet1!A$2:A$48, "")</f>
        <v/>
      </c>
      <c r="J8" s="3" t="str">
        <f>IF(I8&lt;&gt;"","IO_LOC """&amp;I8&amp;""" "&amp;D8&amp;";", "")</f>
        <v/>
      </c>
    </row>
    <row r="9" spans="1:10">
      <c r="A9" s="3">
        <v>38</v>
      </c>
      <c r="B9" s="4" t="s">
        <v>174</v>
      </c>
      <c r="C9" s="4">
        <v>15</v>
      </c>
      <c r="D9" s="4"/>
      <c r="E9" s="4" t="s">
        <v>176</v>
      </c>
      <c r="F9" s="4"/>
      <c r="G9" s="4"/>
      <c r="H9" s="3"/>
      <c r="I9" s="3" t="str">
        <f>_xlfn.XLOOKUP(D9, Sheet1!B$2:B$48, Sheet1!A$2:A$48, "")</f>
        <v/>
      </c>
      <c r="J9" s="3" t="str">
        <f>IF(I9&lt;&gt;"","IO_LOC """&amp;I9&amp;""" "&amp;D9&amp;";", "")</f>
        <v/>
      </c>
    </row>
    <row r="10" spans="1:10">
      <c r="A10" s="3">
        <v>44</v>
      </c>
      <c r="B10" s="4" t="s">
        <v>174</v>
      </c>
      <c r="C10" s="4">
        <v>27</v>
      </c>
      <c r="D10" s="4"/>
      <c r="E10" s="4" t="s">
        <v>176</v>
      </c>
      <c r="F10" s="4"/>
      <c r="G10" s="4"/>
      <c r="H10" s="3"/>
      <c r="I10" s="3" t="str">
        <f>_xlfn.XLOOKUP(D10, Sheet1!B$2:B$48, Sheet1!A$2:A$48, "")</f>
        <v/>
      </c>
      <c r="J10" s="3" t="str">
        <f>IF(I10&lt;&gt;"","IO_LOC """&amp;I10&amp;""" "&amp;D10&amp;";", "")</f>
        <v/>
      </c>
    </row>
    <row r="11" spans="1:10">
      <c r="A11" s="3">
        <v>45</v>
      </c>
      <c r="B11" s="4" t="s">
        <v>174</v>
      </c>
      <c r="C11" s="4">
        <v>29</v>
      </c>
      <c r="D11" s="4"/>
      <c r="E11" s="4" t="s">
        <v>183</v>
      </c>
      <c r="F11" s="4"/>
      <c r="G11" s="4"/>
      <c r="H11" s="3"/>
      <c r="I11" s="3" t="str">
        <f>_xlfn.XLOOKUP(D11, Sheet1!B$2:B$48, Sheet1!A$2:A$48, "")</f>
        <v/>
      </c>
      <c r="J11" s="3" t="str">
        <f>IF(I11&lt;&gt;"","IO_LOC """&amp;I11&amp;""" "&amp;D11&amp;";", "")</f>
        <v/>
      </c>
    </row>
    <row r="12" spans="1:10">
      <c r="A12" s="3">
        <v>46</v>
      </c>
      <c r="B12" s="4" t="s">
        <v>174</v>
      </c>
      <c r="C12" s="4">
        <v>31</v>
      </c>
      <c r="D12" s="4"/>
      <c r="E12" s="4" t="s">
        <v>183</v>
      </c>
      <c r="F12" s="4"/>
      <c r="G12" s="4"/>
      <c r="H12" s="3"/>
      <c r="I12" s="3" t="str">
        <f>_xlfn.XLOOKUP(D12, Sheet1!B$2:B$48, Sheet1!A$2:A$48, "")</f>
        <v/>
      </c>
      <c r="J12" s="3" t="str">
        <f>IF(I12&lt;&gt;"","IO_LOC """&amp;I12&amp;""" "&amp;D12&amp;";", "")</f>
        <v/>
      </c>
    </row>
    <row r="13" spans="1:10">
      <c r="A13" s="3">
        <v>53</v>
      </c>
      <c r="B13" s="4" t="s">
        <v>174</v>
      </c>
      <c r="C13" s="4">
        <v>45</v>
      </c>
      <c r="D13" s="4"/>
      <c r="E13" s="4" t="s">
        <v>176</v>
      </c>
      <c r="F13" s="4"/>
      <c r="G13" s="4"/>
      <c r="H13" s="3"/>
      <c r="I13" s="3" t="str">
        <f>_xlfn.XLOOKUP(D13, Sheet1!B$2:B$48, Sheet1!A$2:A$48, "")</f>
        <v/>
      </c>
      <c r="J13" s="3" t="str">
        <f>IF(I13&lt;&gt;"","IO_LOC """&amp;I13&amp;""" "&amp;D13&amp;";", "")</f>
        <v/>
      </c>
    </row>
    <row r="14" spans="1:10">
      <c r="A14" s="3">
        <v>60</v>
      </c>
      <c r="B14" s="4" t="s">
        <v>174</v>
      </c>
      <c r="C14" s="4">
        <v>59</v>
      </c>
      <c r="D14" s="4"/>
      <c r="E14" s="4" t="s">
        <v>176</v>
      </c>
      <c r="F14" s="4"/>
      <c r="G14" s="4"/>
      <c r="H14" s="3"/>
      <c r="I14" s="3" t="str">
        <f>_xlfn.XLOOKUP(D14, Sheet1!B$2:B$48, Sheet1!A$2:A$48, "")</f>
        <v/>
      </c>
      <c r="J14" s="3" t="str">
        <f>IF(I14&lt;&gt;"","IO_LOC """&amp;I14&amp;""" "&amp;D14&amp;";", "")</f>
        <v/>
      </c>
    </row>
    <row r="15" spans="1:10">
      <c r="A15" s="3">
        <v>61</v>
      </c>
      <c r="B15" s="4" t="s">
        <v>82</v>
      </c>
      <c r="C15" s="4">
        <v>2</v>
      </c>
      <c r="D15" s="4"/>
      <c r="E15" s="4" t="s">
        <v>236</v>
      </c>
      <c r="F15" s="4"/>
      <c r="G15" s="4"/>
      <c r="H15" s="3"/>
      <c r="I15" s="3" t="str">
        <f>_xlfn.XLOOKUP(D15, Sheet1!B$2:B$48, Sheet1!A$2:A$48, "")</f>
        <v/>
      </c>
      <c r="J15" s="3" t="str">
        <f>IF(I15&lt;&gt;"","IO_LOC """&amp;I15&amp;""" "&amp;D15&amp;";", "")</f>
        <v/>
      </c>
    </row>
    <row r="16" spans="1:10">
      <c r="A16" s="3">
        <v>62</v>
      </c>
      <c r="B16" s="4" t="s">
        <v>82</v>
      </c>
      <c r="C16" s="4">
        <v>4</v>
      </c>
      <c r="D16" s="4"/>
      <c r="E16" s="4" t="s">
        <v>236</v>
      </c>
      <c r="F16" s="4"/>
      <c r="G16" s="4"/>
      <c r="H16" s="3"/>
      <c r="I16" s="3" t="str">
        <f>_xlfn.XLOOKUP(D16, Sheet1!B$2:B$48, Sheet1!A$2:A$48, "")</f>
        <v/>
      </c>
      <c r="J16" s="3" t="str">
        <f>IF(I16&lt;&gt;"","IO_LOC """&amp;I16&amp;""" "&amp;D16&amp;";", "")</f>
        <v/>
      </c>
    </row>
    <row r="17" spans="1:10">
      <c r="A17" s="3">
        <v>79</v>
      </c>
      <c r="B17" s="4" t="s">
        <v>82</v>
      </c>
      <c r="C17" s="4">
        <v>38</v>
      </c>
      <c r="D17" s="4"/>
      <c r="E17" s="4" t="s">
        <v>246</v>
      </c>
      <c r="F17" s="4"/>
      <c r="G17" s="4"/>
      <c r="H17" s="3"/>
      <c r="I17" s="3" t="str">
        <f>_xlfn.XLOOKUP(D17, Sheet1!B$2:B$48, Sheet1!A$2:A$48, "")</f>
        <v/>
      </c>
      <c r="J17" s="3" t="str">
        <f>IF(I17&lt;&gt;"","IO_LOC """&amp;I17&amp;""" "&amp;D17&amp;";", "")</f>
        <v/>
      </c>
    </row>
    <row r="18" spans="1:10">
      <c r="A18" s="3">
        <v>80</v>
      </c>
      <c r="B18" s="4" t="s">
        <v>82</v>
      </c>
      <c r="C18" s="4">
        <v>40</v>
      </c>
      <c r="D18" s="4"/>
      <c r="E18" s="4" t="s">
        <v>246</v>
      </c>
      <c r="F18" s="4"/>
      <c r="G18" s="4"/>
      <c r="H18" s="3"/>
      <c r="I18" s="3" t="str">
        <f>_xlfn.XLOOKUP(D18, Sheet1!B$2:B$48, Sheet1!A$2:A$48, "")</f>
        <v/>
      </c>
      <c r="J18" s="3" t="str">
        <f>IF(I18&lt;&gt;"","IO_LOC """&amp;I18&amp;""" "&amp;D18&amp;";", "")</f>
        <v/>
      </c>
    </row>
    <row r="19" spans="1:10">
      <c r="A19" s="3">
        <v>81</v>
      </c>
      <c r="B19" s="4" t="s">
        <v>82</v>
      </c>
      <c r="C19" s="4">
        <v>42</v>
      </c>
      <c r="D19" s="4"/>
      <c r="E19" s="4" t="s">
        <v>247</v>
      </c>
      <c r="F19" s="4"/>
      <c r="G19" s="4"/>
      <c r="H19" s="3"/>
      <c r="I19" s="3" t="str">
        <f>_xlfn.XLOOKUP(D19, Sheet1!B$2:B$48, Sheet1!A$2:A$48, "")</f>
        <v/>
      </c>
      <c r="J19" s="3" t="str">
        <f>IF(I19&lt;&gt;"","IO_LOC """&amp;I19&amp;""" "&amp;D19&amp;";", "")</f>
        <v/>
      </c>
    </row>
    <row r="20" spans="1:10">
      <c r="A20" s="3">
        <v>82</v>
      </c>
      <c r="B20" s="4" t="s">
        <v>82</v>
      </c>
      <c r="C20" s="4">
        <v>44</v>
      </c>
      <c r="D20" s="4"/>
      <c r="E20" s="4" t="s">
        <v>247</v>
      </c>
      <c r="F20" s="4"/>
      <c r="G20" s="4"/>
      <c r="H20" s="3"/>
      <c r="I20" s="3" t="str">
        <f>_xlfn.XLOOKUP(D20, Sheet1!B$2:B$48, Sheet1!A$2:A$48, "")</f>
        <v/>
      </c>
      <c r="J20" s="3" t="str">
        <f>IF(I20&lt;&gt;"","IO_LOC """&amp;I20&amp;""" "&amp;D20&amp;";", "")</f>
        <v/>
      </c>
    </row>
    <row r="21" spans="1:10">
      <c r="A21" s="3">
        <v>83</v>
      </c>
      <c r="B21" s="4" t="s">
        <v>82</v>
      </c>
      <c r="C21" s="4">
        <v>46</v>
      </c>
      <c r="D21" s="4"/>
      <c r="E21" s="4" t="s">
        <v>248</v>
      </c>
      <c r="F21" s="4"/>
      <c r="G21" s="4"/>
      <c r="H21" s="3"/>
      <c r="I21" s="3" t="str">
        <f>_xlfn.XLOOKUP(D21, Sheet1!B$2:B$48, Sheet1!A$2:A$48, "")</f>
        <v/>
      </c>
      <c r="J21" s="3" t="str">
        <f>IF(I21&lt;&gt;"","IO_LOC """&amp;I21&amp;""" "&amp;D21&amp;";", "")</f>
        <v/>
      </c>
    </row>
    <row r="22" spans="1:10">
      <c r="A22" s="3">
        <v>84</v>
      </c>
      <c r="B22" s="4" t="s">
        <v>82</v>
      </c>
      <c r="C22" s="4">
        <v>48</v>
      </c>
      <c r="D22" s="4"/>
      <c r="E22" s="4" t="s">
        <v>248</v>
      </c>
      <c r="F22" s="4"/>
      <c r="G22" s="4"/>
      <c r="H22" s="3"/>
      <c r="I22" s="3" t="str">
        <f>_xlfn.XLOOKUP(D22, Sheet1!B$2:B$48, Sheet1!A$2:A$48, "")</f>
        <v/>
      </c>
      <c r="J22" s="3" t="str">
        <f>IF(I22&lt;&gt;"","IO_LOC """&amp;I22&amp;""" "&amp;D22&amp;";", "")</f>
        <v/>
      </c>
    </row>
    <row r="23" spans="1:10">
      <c r="A23" s="3">
        <v>85</v>
      </c>
      <c r="B23" s="4" t="s">
        <v>82</v>
      </c>
      <c r="C23" s="4">
        <v>50</v>
      </c>
      <c r="D23" s="4"/>
      <c r="E23" s="4" t="s">
        <v>248</v>
      </c>
      <c r="F23" s="4"/>
      <c r="G23" s="4"/>
      <c r="H23" s="3"/>
      <c r="I23" s="3" t="str">
        <f>_xlfn.XLOOKUP(D23, Sheet1!B$2:B$48, Sheet1!A$2:A$48, "")</f>
        <v/>
      </c>
      <c r="J23" s="3" t="str">
        <f>IF(I23&lt;&gt;"","IO_LOC """&amp;I23&amp;""" "&amp;D23&amp;";", "")</f>
        <v/>
      </c>
    </row>
    <row r="24" spans="1:10">
      <c r="A24" s="3">
        <v>86</v>
      </c>
      <c r="B24" s="4" t="s">
        <v>82</v>
      </c>
      <c r="C24" s="4">
        <v>52</v>
      </c>
      <c r="D24" s="4"/>
      <c r="E24" s="4" t="s">
        <v>249</v>
      </c>
      <c r="F24" s="4"/>
      <c r="G24" s="4"/>
      <c r="H24" s="3"/>
      <c r="I24" s="3" t="str">
        <f>_xlfn.XLOOKUP(D24, Sheet1!B$2:B$48, Sheet1!A$2:A$48, "")</f>
        <v/>
      </c>
      <c r="J24" s="3" t="str">
        <f>IF(I24&lt;&gt;"","IO_LOC """&amp;I24&amp;""" "&amp;D24&amp;";", "")</f>
        <v/>
      </c>
    </row>
    <row r="25" spans="1:10">
      <c r="A25" s="3">
        <v>87</v>
      </c>
      <c r="B25" s="4" t="s">
        <v>82</v>
      </c>
      <c r="C25" s="4">
        <v>54</v>
      </c>
      <c r="D25" s="4"/>
      <c r="E25" s="4" t="s">
        <v>249</v>
      </c>
      <c r="F25" s="4"/>
      <c r="G25" s="4"/>
      <c r="H25" s="3"/>
      <c r="I25" s="3" t="str">
        <f>_xlfn.XLOOKUP(D25, Sheet1!B$2:B$48, Sheet1!A$2:A$48, "")</f>
        <v/>
      </c>
      <c r="J25" s="3" t="str">
        <f>IF(I25&lt;&gt;"","IO_LOC """&amp;I25&amp;""" "&amp;D25&amp;";", "")</f>
        <v/>
      </c>
    </row>
    <row r="26" spans="1:10">
      <c r="A26" s="3">
        <v>88</v>
      </c>
      <c r="B26" s="4" t="s">
        <v>82</v>
      </c>
      <c r="C26" s="4">
        <v>56</v>
      </c>
      <c r="D26" s="4"/>
      <c r="E26" s="4" t="s">
        <v>249</v>
      </c>
      <c r="F26" s="4"/>
      <c r="G26" s="4"/>
      <c r="H26" s="3"/>
      <c r="I26" s="3" t="str">
        <f>_xlfn.XLOOKUP(D26, Sheet1!B$2:B$48, Sheet1!A$2:A$48, "")</f>
        <v/>
      </c>
      <c r="J26" s="3" t="str">
        <f>IF(I26&lt;&gt;"","IO_LOC """&amp;I26&amp;""" "&amp;D26&amp;";", "")</f>
        <v/>
      </c>
    </row>
    <row r="27" spans="1:10">
      <c r="A27" s="3">
        <v>89</v>
      </c>
      <c r="B27" s="4" t="s">
        <v>82</v>
      </c>
      <c r="C27" s="4">
        <v>58</v>
      </c>
      <c r="D27" s="4"/>
      <c r="E27" s="4" t="s">
        <v>249</v>
      </c>
      <c r="F27" s="4"/>
      <c r="G27" s="4"/>
      <c r="H27" s="3"/>
      <c r="I27" s="3" t="str">
        <f>_xlfn.XLOOKUP(D27, Sheet1!B$2:B$48, Sheet1!A$2:A$48, "")</f>
        <v/>
      </c>
      <c r="J27" s="3" t="str">
        <f>IF(I27&lt;&gt;"","IO_LOC """&amp;I27&amp;""" "&amp;D27&amp;";", "")</f>
        <v/>
      </c>
    </row>
    <row r="28" spans="1:10">
      <c r="A28" s="3">
        <v>90</v>
      </c>
      <c r="B28" s="4" t="s">
        <v>82</v>
      </c>
      <c r="C28" s="4">
        <v>60</v>
      </c>
      <c r="D28" s="4"/>
      <c r="E28" s="4" t="s">
        <v>249</v>
      </c>
      <c r="F28" s="4"/>
      <c r="G28" s="4"/>
      <c r="H28" s="3"/>
      <c r="I28" s="3" t="str">
        <f>_xlfn.XLOOKUP(D28, Sheet1!B$2:B$48, Sheet1!A$2:A$48, "")</f>
        <v/>
      </c>
      <c r="J28" s="3" t="str">
        <f>IF(I28&lt;&gt;"","IO_LOC """&amp;I28&amp;""" "&amp;D28&amp;";", "")</f>
        <v/>
      </c>
    </row>
    <row r="29" spans="1:10">
      <c r="A29" s="3">
        <v>91</v>
      </c>
      <c r="B29" s="4" t="s">
        <v>82</v>
      </c>
      <c r="C29" s="4">
        <v>1</v>
      </c>
      <c r="D29" s="4"/>
      <c r="E29" s="4" t="s">
        <v>176</v>
      </c>
      <c r="F29" s="4"/>
      <c r="G29" s="4"/>
      <c r="H29" s="3"/>
      <c r="I29" s="3" t="str">
        <f>_xlfn.XLOOKUP(D29, Sheet1!B$2:B$48, Sheet1!A$2:A$48, "")</f>
        <v/>
      </c>
      <c r="J29" s="3" t="str">
        <f>IF(I29&lt;&gt;"","IO_LOC """&amp;I29&amp;""" "&amp;D29&amp;";", "")</f>
        <v/>
      </c>
    </row>
    <row r="30" spans="1:10">
      <c r="A30" s="3">
        <v>97</v>
      </c>
      <c r="B30" s="4" t="s">
        <v>82</v>
      </c>
      <c r="C30" s="4">
        <v>13</v>
      </c>
      <c r="D30" s="4" t="s">
        <v>270</v>
      </c>
      <c r="E30" s="4" t="s">
        <v>313</v>
      </c>
      <c r="F30" s="4">
        <v>5</v>
      </c>
      <c r="G30" s="4"/>
      <c r="H30" s="3">
        <v>3.3</v>
      </c>
      <c r="I30" s="3" t="str">
        <f>_xlfn.XLOOKUP(D30, Sheet1!B$2:B$48, Sheet1!A$2:A$48, "")</f>
        <v/>
      </c>
      <c r="J30" s="3" t="str">
        <f>IF(I30&lt;&gt;"","IO_LOC """&amp;I30&amp;""" "&amp;D30&amp;";", "")</f>
        <v/>
      </c>
    </row>
    <row r="31" spans="1:10">
      <c r="A31" s="3">
        <v>100</v>
      </c>
      <c r="B31" s="4" t="s">
        <v>82</v>
      </c>
      <c r="C31" s="4">
        <v>19</v>
      </c>
      <c r="D31" s="4"/>
      <c r="E31" s="4" t="s">
        <v>176</v>
      </c>
      <c r="F31" s="4"/>
      <c r="G31" s="4"/>
      <c r="H31" s="3"/>
      <c r="I31" s="3" t="str">
        <f>_xlfn.XLOOKUP(D31, Sheet1!B$2:B$48, Sheet1!A$2:A$48, "")</f>
        <v/>
      </c>
      <c r="J31" s="3" t="str">
        <f>IF(I31&lt;&gt;"","IO_LOC """&amp;I31&amp;""" "&amp;D31&amp;";", "")</f>
        <v/>
      </c>
    </row>
    <row r="32" spans="1:10">
      <c r="A32" s="3">
        <v>105</v>
      </c>
      <c r="B32" s="4" t="s">
        <v>82</v>
      </c>
      <c r="C32" s="4">
        <v>29</v>
      </c>
      <c r="D32" s="4"/>
      <c r="E32" s="4" t="s">
        <v>176</v>
      </c>
      <c r="F32" s="4"/>
      <c r="G32" s="4"/>
      <c r="H32" s="3"/>
      <c r="I32" s="3" t="str">
        <f>_xlfn.XLOOKUP(D32, Sheet1!B$2:B$48, Sheet1!A$2:A$48, "")</f>
        <v/>
      </c>
      <c r="J32" s="3" t="str">
        <f>IF(I32&lt;&gt;"","IO_LOC """&amp;I32&amp;""" "&amp;D32&amp;";", "")</f>
        <v/>
      </c>
    </row>
    <row r="33" spans="1:10">
      <c r="A33" s="3">
        <v>111</v>
      </c>
      <c r="B33" s="4" t="s">
        <v>82</v>
      </c>
      <c r="C33" s="4">
        <v>41</v>
      </c>
      <c r="D33" s="4"/>
      <c r="E33" s="4" t="s">
        <v>176</v>
      </c>
      <c r="F33" s="4"/>
      <c r="G33" s="4"/>
      <c r="H33" s="3"/>
      <c r="I33" s="3" t="str">
        <f>_xlfn.XLOOKUP(D33, Sheet1!B$2:B$48, Sheet1!A$2:A$48, "")</f>
        <v/>
      </c>
      <c r="J33" s="3" t="str">
        <f>IF(I33&lt;&gt;"","IO_LOC """&amp;I33&amp;""" "&amp;D33&amp;";", "")</f>
        <v/>
      </c>
    </row>
    <row r="34" spans="1:10">
      <c r="A34" s="3">
        <v>114</v>
      </c>
      <c r="B34" s="4" t="s">
        <v>82</v>
      </c>
      <c r="C34" s="4">
        <v>47</v>
      </c>
      <c r="D34" s="4"/>
      <c r="E34" s="4" t="s">
        <v>176</v>
      </c>
      <c r="F34" s="4"/>
      <c r="G34" s="4"/>
      <c r="H34" s="3"/>
      <c r="I34" s="3" t="str">
        <f>_xlfn.XLOOKUP(D34, Sheet1!B$2:B$48, Sheet1!A$2:A$48, "")</f>
        <v/>
      </c>
      <c r="J34" s="3" t="str">
        <f>IF(I34&lt;&gt;"","IO_LOC """&amp;I34&amp;""" "&amp;D34&amp;";", "")</f>
        <v/>
      </c>
    </row>
    <row r="35" spans="1:10">
      <c r="A35" s="3">
        <v>117</v>
      </c>
      <c r="B35" s="4" t="s">
        <v>82</v>
      </c>
      <c r="C35" s="4">
        <v>53</v>
      </c>
      <c r="D35" s="4"/>
      <c r="E35" s="4" t="s">
        <v>176</v>
      </c>
      <c r="F35" s="4"/>
      <c r="G35" s="4"/>
      <c r="H35" s="3"/>
      <c r="I35" s="3" t="str">
        <f>_xlfn.XLOOKUP(D35, Sheet1!B$2:B$48, Sheet1!A$2:A$48, "")</f>
        <v/>
      </c>
      <c r="J35" s="3" t="str">
        <f>IF(I35&lt;&gt;"","IO_LOC """&amp;I35&amp;""" "&amp;D35&amp;";", "")</f>
        <v/>
      </c>
    </row>
    <row r="36" spans="1:10">
      <c r="A36" s="3">
        <v>120</v>
      </c>
      <c r="B36" s="4" t="s">
        <v>82</v>
      </c>
      <c r="C36" s="4">
        <v>59</v>
      </c>
      <c r="D36" s="4"/>
      <c r="E36" s="4" t="s">
        <v>176</v>
      </c>
      <c r="F36" s="4"/>
      <c r="G36" s="4"/>
      <c r="H36" s="3"/>
      <c r="I36" s="3" t="str">
        <f>_xlfn.XLOOKUP(D36, Sheet1!B$2:B$48, Sheet1!A$2:A$48, "")</f>
        <v/>
      </c>
      <c r="J36" s="3"/>
    </row>
    <row r="37" spans="1:10">
      <c r="A37" s="3">
        <v>56</v>
      </c>
      <c r="B37" s="4" t="s">
        <v>174</v>
      </c>
      <c r="C37" s="4">
        <v>51</v>
      </c>
      <c r="D37" s="4" t="s">
        <v>226</v>
      </c>
      <c r="E37" s="4" t="s">
        <v>352</v>
      </c>
      <c r="F37" s="4">
        <v>6</v>
      </c>
      <c r="G37" s="4"/>
      <c r="H37" s="3">
        <v>1.8</v>
      </c>
      <c r="I37" s="3" t="s">
        <v>335</v>
      </c>
      <c r="J37" s="3" t="str">
        <f>IF(I37&lt;&gt;"","IO_LOC """&amp;I37&amp;""" "&amp;D37&amp;";", "")</f>
        <v>IO_LOC "dip_sw[0]" C11;</v>
      </c>
    </row>
    <row r="38" spans="1:10">
      <c r="A38" s="3">
        <v>57</v>
      </c>
      <c r="B38" s="4" t="s">
        <v>174</v>
      </c>
      <c r="C38" s="4">
        <v>53</v>
      </c>
      <c r="D38" s="4" t="s">
        <v>227</v>
      </c>
      <c r="E38" s="4" t="s">
        <v>353</v>
      </c>
      <c r="F38" s="4">
        <v>6</v>
      </c>
      <c r="G38" s="4"/>
      <c r="H38" s="3">
        <v>1.8</v>
      </c>
      <c r="I38" s="3" t="s">
        <v>336</v>
      </c>
      <c r="J38" s="3" t="str">
        <f>IF(I38&lt;&gt;"","IO_LOC """&amp;I38&amp;""" "&amp;D38&amp;";", "")</f>
        <v>IO_LOC "dip_sw[1]" C10;</v>
      </c>
    </row>
    <row r="39" spans="1:10">
      <c r="A39" s="3">
        <v>73</v>
      </c>
      <c r="B39" s="4" t="s">
        <v>82</v>
      </c>
      <c r="C39" s="4">
        <v>26</v>
      </c>
      <c r="D39" s="4" t="s">
        <v>253</v>
      </c>
      <c r="E39" s="4" t="s">
        <v>240</v>
      </c>
      <c r="F39" s="4">
        <v>2</v>
      </c>
      <c r="G39" s="4" t="s">
        <v>177</v>
      </c>
      <c r="H39" s="3">
        <v>1.8</v>
      </c>
      <c r="I39" s="3" t="str">
        <f>_xlfn.XLOOKUP(D39, Sheet1!B$2:B$48, Sheet1!A$2:A$48, "")</f>
        <v>ft601_be[0]</v>
      </c>
      <c r="J39" s="3" t="str">
        <f>IF(I39&lt;&gt;"","IO_LOC """&amp;I39&amp;""" "&amp;D39&amp;";", "")</f>
        <v>IO_LOC "ft601_be[0]" J1;</v>
      </c>
    </row>
    <row r="40" spans="1:10">
      <c r="A40" s="3">
        <v>72</v>
      </c>
      <c r="B40" s="4" t="s">
        <v>82</v>
      </c>
      <c r="C40" s="4">
        <v>24</v>
      </c>
      <c r="D40" s="4" t="s">
        <v>252</v>
      </c>
      <c r="E40" s="4" t="s">
        <v>239</v>
      </c>
      <c r="F40" s="4">
        <v>2</v>
      </c>
      <c r="G40" s="4" t="s">
        <v>177</v>
      </c>
      <c r="H40" s="3">
        <v>1.8</v>
      </c>
      <c r="I40" s="3" t="str">
        <f>_xlfn.XLOOKUP(D40, Sheet1!B$2:B$48, Sheet1!A$2:A$48, "")</f>
        <v>ft601_be[1]</v>
      </c>
      <c r="J40" s="3" t="str">
        <f>IF(I40&lt;&gt;"","IO_LOC """&amp;I40&amp;""" "&amp;D40&amp;";", "")</f>
        <v>IO_LOC "ft601_be[1]" L3;</v>
      </c>
    </row>
    <row r="41" spans="1:10">
      <c r="A41" s="3">
        <v>71</v>
      </c>
      <c r="B41" s="4" t="s">
        <v>82</v>
      </c>
      <c r="C41" s="4">
        <v>22</v>
      </c>
      <c r="D41" s="4" t="s">
        <v>87</v>
      </c>
      <c r="E41" s="4" t="s">
        <v>44</v>
      </c>
      <c r="F41" s="4">
        <v>2</v>
      </c>
      <c r="G41" s="4" t="s">
        <v>177</v>
      </c>
      <c r="H41" s="3">
        <v>1.8</v>
      </c>
      <c r="I41" s="3" t="str">
        <f>_xlfn.XLOOKUP(D41, Sheet1!B$2:B$48, Sheet1!A$2:A$48, "")</f>
        <v>ft601_be[2]</v>
      </c>
      <c r="J41" s="3" t="str">
        <f>IF(I41&lt;&gt;"","IO_LOC """&amp;I41&amp;""" "&amp;D41&amp;";", "")</f>
        <v>IO_LOC "ft601_be[2]" L4;</v>
      </c>
    </row>
    <row r="42" spans="1:10">
      <c r="A42" s="3">
        <v>70</v>
      </c>
      <c r="B42" s="4" t="s">
        <v>82</v>
      </c>
      <c r="C42" s="4">
        <v>20</v>
      </c>
      <c r="D42" s="4" t="s">
        <v>86</v>
      </c>
      <c r="E42" s="4" t="s">
        <v>43</v>
      </c>
      <c r="F42" s="4">
        <v>2</v>
      </c>
      <c r="G42" s="4"/>
      <c r="H42" s="3">
        <v>1.8</v>
      </c>
      <c r="I42" s="3" t="str">
        <f>_xlfn.XLOOKUP(D42, Sheet1!B$2:B$48, Sheet1!A$2:A$48, "")</f>
        <v>ft601_be[3]</v>
      </c>
      <c r="J42" s="3" t="str">
        <f>IF(I42&lt;&gt;"","IO_LOC """&amp;I42&amp;""" "&amp;D42&amp;";", "")</f>
        <v>IO_LOC "ft601_be[3]" G1;</v>
      </c>
    </row>
    <row r="43" spans="1:10">
      <c r="A43" s="3">
        <v>5</v>
      </c>
      <c r="B43" s="4" t="s">
        <v>174</v>
      </c>
      <c r="C43" s="4">
        <v>10</v>
      </c>
      <c r="D43" s="4" t="s">
        <v>187</v>
      </c>
      <c r="E43" s="4" t="s">
        <v>61</v>
      </c>
      <c r="F43" s="4">
        <v>0</v>
      </c>
      <c r="G43" s="4" t="s">
        <v>177</v>
      </c>
      <c r="H43" s="3">
        <v>1.8</v>
      </c>
      <c r="I43" s="3" t="str">
        <f>_xlfn.XLOOKUP(D43, Sheet1!B$2:B$48, Sheet1!A$2:A$48, "")</f>
        <v>ft601_clk</v>
      </c>
      <c r="J43" s="3" t="str">
        <f>IF(I43&lt;&gt;"","IO_LOC """&amp;I43&amp;""" "&amp;D43&amp;";", "")</f>
        <v>IO_LOC "ft601_clk" K5;</v>
      </c>
    </row>
    <row r="44" spans="1:10">
      <c r="A44" s="3">
        <v>24</v>
      </c>
      <c r="B44" s="4" t="s">
        <v>174</v>
      </c>
      <c r="C44" s="4">
        <v>48</v>
      </c>
      <c r="D44" s="4" t="s">
        <v>195</v>
      </c>
      <c r="E44" s="4" t="s">
        <v>45</v>
      </c>
      <c r="F44" s="4">
        <v>7</v>
      </c>
      <c r="G44" s="4"/>
      <c r="H44" s="3">
        <v>1.8</v>
      </c>
      <c r="I44" s="3" t="str">
        <f>_xlfn.XLOOKUP(D44, Sheet1!B$2:B$48, Sheet1!A$2:A$48, "")</f>
        <v>ft601_data[0]</v>
      </c>
      <c r="J44" s="3" t="str">
        <f>IF(I44&lt;&gt;"","IO_LOC """&amp;I44&amp;""" "&amp;D44&amp;";", "")</f>
        <v>IO_LOC "ft601_data[0]" L11;</v>
      </c>
    </row>
    <row r="45" spans="1:10">
      <c r="A45" s="3">
        <v>23</v>
      </c>
      <c r="B45" s="4" t="s">
        <v>174</v>
      </c>
      <c r="C45" s="4">
        <v>46</v>
      </c>
      <c r="D45" s="4" t="s">
        <v>194</v>
      </c>
      <c r="E45" s="4" t="s">
        <v>46</v>
      </c>
      <c r="F45" s="4">
        <v>7</v>
      </c>
      <c r="G45" s="4"/>
      <c r="H45" s="3">
        <v>1.8</v>
      </c>
      <c r="I45" s="3" t="str">
        <f>_xlfn.XLOOKUP(D45, Sheet1!B$2:B$48, Sheet1!A$2:A$48, "")</f>
        <v>ft601_data[1]</v>
      </c>
      <c r="J45" s="3" t="str">
        <f>IF(I45&lt;&gt;"","IO_LOC """&amp;I45&amp;""" "&amp;D45&amp;";", "")</f>
        <v>IO_LOC "ft601_data[1]" K11;</v>
      </c>
    </row>
    <row r="46" spans="1:10">
      <c r="A46" s="3">
        <v>11</v>
      </c>
      <c r="B46" s="4" t="s">
        <v>174</v>
      </c>
      <c r="C46" s="4">
        <v>22</v>
      </c>
      <c r="D46" s="4" t="s">
        <v>193</v>
      </c>
      <c r="E46" s="4" t="s">
        <v>55</v>
      </c>
      <c r="F46" s="4">
        <v>0</v>
      </c>
      <c r="G46" s="4"/>
      <c r="H46" s="3">
        <v>1.8</v>
      </c>
      <c r="I46" s="3" t="str">
        <f>_xlfn.XLOOKUP(D46, Sheet1!B$2:B$48, Sheet1!A$2:A$48, "")</f>
        <v>ft601_data[10]</v>
      </c>
      <c r="J46" s="3" t="str">
        <f>IF(I46&lt;&gt;"","IO_LOC """&amp;I46&amp;""" "&amp;D46&amp;";", "")</f>
        <v>IO_LOC "ft601_data[10]" G5;</v>
      </c>
    </row>
    <row r="47" spans="1:10">
      <c r="A47" s="3">
        <v>10</v>
      </c>
      <c r="B47" s="4" t="s">
        <v>174</v>
      </c>
      <c r="C47" s="4">
        <v>20</v>
      </c>
      <c r="D47" s="4" t="s">
        <v>192</v>
      </c>
      <c r="E47" s="4" t="s">
        <v>56</v>
      </c>
      <c r="F47" s="4">
        <v>0</v>
      </c>
      <c r="G47" s="4"/>
      <c r="H47" s="3">
        <v>1.8</v>
      </c>
      <c r="I47" s="3" t="str">
        <f>_xlfn.XLOOKUP(D47, Sheet1!B$2:B$48, Sheet1!A$2:A$48, "")</f>
        <v>ft601_data[11]</v>
      </c>
      <c r="J47" s="3" t="str">
        <f>IF(I47&lt;&gt;"","IO_LOC """&amp;I47&amp;""" "&amp;D47&amp;";", "")</f>
        <v>IO_LOC "ft601_data[11]" F5;</v>
      </c>
    </row>
    <row r="48" spans="1:10">
      <c r="A48" s="3">
        <v>9</v>
      </c>
      <c r="B48" s="4" t="s">
        <v>174</v>
      </c>
      <c r="C48" s="4">
        <v>18</v>
      </c>
      <c r="D48" s="4" t="s">
        <v>191</v>
      </c>
      <c r="E48" s="4" t="s">
        <v>57</v>
      </c>
      <c r="F48" s="4">
        <v>0</v>
      </c>
      <c r="G48" s="4"/>
      <c r="H48" s="3">
        <v>1.8</v>
      </c>
      <c r="I48" s="3" t="str">
        <f>_xlfn.XLOOKUP(D48, Sheet1!B$2:B$48, Sheet1!A$2:A$48, "")</f>
        <v>ft601_data[12]</v>
      </c>
      <c r="J48" s="3" t="str">
        <f>IF(I48&lt;&gt;"","IO_LOC """&amp;I48&amp;""" "&amp;D48&amp;";", "")</f>
        <v>IO_LOC "ft601_data[12]" G8;</v>
      </c>
    </row>
    <row r="49" spans="1:10">
      <c r="A49" s="3">
        <v>8</v>
      </c>
      <c r="B49" s="4" t="s">
        <v>174</v>
      </c>
      <c r="C49" s="4">
        <v>16</v>
      </c>
      <c r="D49" s="4" t="s">
        <v>190</v>
      </c>
      <c r="E49" s="4" t="s">
        <v>58</v>
      </c>
      <c r="F49" s="4">
        <v>0</v>
      </c>
      <c r="G49" s="4"/>
      <c r="H49" s="3">
        <v>1.8</v>
      </c>
      <c r="I49" s="3" t="str">
        <f>_xlfn.XLOOKUP(D49, Sheet1!B$2:B$48, Sheet1!A$2:A$48, "")</f>
        <v>ft601_data[13]</v>
      </c>
      <c r="J49" s="3" t="str">
        <f>IF(I49&lt;&gt;"","IO_LOC """&amp;I49&amp;""" "&amp;D49&amp;";", "")</f>
        <v>IO_LOC "ft601_data[13]" G7;</v>
      </c>
    </row>
    <row r="50" spans="1:10">
      <c r="A50" s="3">
        <v>7</v>
      </c>
      <c r="B50" s="4" t="s">
        <v>174</v>
      </c>
      <c r="C50" s="4">
        <v>14</v>
      </c>
      <c r="D50" s="4" t="s">
        <v>189</v>
      </c>
      <c r="E50" s="4" t="s">
        <v>59</v>
      </c>
      <c r="F50" s="4">
        <v>0</v>
      </c>
      <c r="G50" s="4"/>
      <c r="H50" s="3">
        <v>1.8</v>
      </c>
      <c r="I50" s="3" t="str">
        <f>_xlfn.XLOOKUP(D50, Sheet1!B$2:B$48, Sheet1!A$2:A$48, "")</f>
        <v>ft601_data[14]</v>
      </c>
      <c r="J50" s="3" t="str">
        <f>IF(I50&lt;&gt;"","IO_LOC """&amp;I50&amp;""" "&amp;D50&amp;";", "")</f>
        <v>IO_LOC "ft601_data[14]" H7;</v>
      </c>
    </row>
    <row r="51" spans="1:10">
      <c r="A51" s="3">
        <v>6</v>
      </c>
      <c r="B51" s="4" t="s">
        <v>174</v>
      </c>
      <c r="C51" s="4">
        <v>12</v>
      </c>
      <c r="D51" s="4" t="s">
        <v>188</v>
      </c>
      <c r="E51" s="4" t="s">
        <v>60</v>
      </c>
      <c r="F51" s="4">
        <v>0</v>
      </c>
      <c r="G51" s="4"/>
      <c r="H51" s="3">
        <v>1.8</v>
      </c>
      <c r="I51" s="3" t="str">
        <f>_xlfn.XLOOKUP(D51, Sheet1!B$2:B$48, Sheet1!A$2:A$48, "")</f>
        <v>ft601_data[15]</v>
      </c>
      <c r="J51" s="3" t="str">
        <f>IF(I51&lt;&gt;"","IO_LOC """&amp;I51&amp;""" "&amp;D51&amp;";", "")</f>
        <v>IO_LOC "ft601_data[15]" H8;</v>
      </c>
    </row>
    <row r="52" spans="1:10">
      <c r="A52" s="3">
        <v>2</v>
      </c>
      <c r="B52" s="4" t="s">
        <v>174</v>
      </c>
      <c r="C52" s="4">
        <v>4</v>
      </c>
      <c r="D52" s="4" t="s">
        <v>184</v>
      </c>
      <c r="E52" s="4" t="s">
        <v>62</v>
      </c>
      <c r="F52" s="4">
        <v>0</v>
      </c>
      <c r="G52" s="4" t="s">
        <v>177</v>
      </c>
      <c r="H52" s="3">
        <v>1.8</v>
      </c>
      <c r="I52" s="3" t="str">
        <f>_xlfn.XLOOKUP(D52, Sheet1!B$2:B$48, Sheet1!A$2:A$48, "")</f>
        <v>ft601_data[16]</v>
      </c>
      <c r="J52" s="3" t="str">
        <f>IF(I52&lt;&gt;"","IO_LOC """&amp;I52&amp;""" "&amp;D52&amp;";", "")</f>
        <v>IO_LOC "ft601_data[16]" H5;</v>
      </c>
    </row>
    <row r="53" spans="1:10">
      <c r="A53" s="3">
        <v>3</v>
      </c>
      <c r="B53" s="4" t="s">
        <v>174</v>
      </c>
      <c r="C53" s="4">
        <v>6</v>
      </c>
      <c r="D53" s="4" t="s">
        <v>185</v>
      </c>
      <c r="E53" s="4" t="s">
        <v>63</v>
      </c>
      <c r="F53" s="4">
        <v>0</v>
      </c>
      <c r="G53" s="4" t="s">
        <v>177</v>
      </c>
      <c r="H53" s="3">
        <v>1.8</v>
      </c>
      <c r="I53" s="3" t="str">
        <f>_xlfn.XLOOKUP(D53, Sheet1!B$2:B$48, Sheet1!A$2:A$48, "")</f>
        <v>ft601_data[17]</v>
      </c>
      <c r="J53" s="3" t="str">
        <f>IF(I53&lt;&gt;"","IO_LOC """&amp;I53&amp;""" "&amp;D53&amp;";", "")</f>
        <v>IO_LOC "ft601_data[17]" J5;</v>
      </c>
    </row>
    <row r="54" spans="1:10">
      <c r="A54" s="3">
        <v>4</v>
      </c>
      <c r="B54" s="4" t="s">
        <v>174</v>
      </c>
      <c r="C54" s="4">
        <v>8</v>
      </c>
      <c r="D54" s="4" t="s">
        <v>186</v>
      </c>
      <c r="E54" s="4" t="s">
        <v>64</v>
      </c>
      <c r="F54" s="4">
        <v>0</v>
      </c>
      <c r="G54" s="4" t="s">
        <v>177</v>
      </c>
      <c r="H54" s="3">
        <v>1.8</v>
      </c>
      <c r="I54" s="3" t="str">
        <f>_xlfn.XLOOKUP(D54, Sheet1!B$2:B$48, Sheet1!A$2:A$48, "")</f>
        <v>ft601_data[18]</v>
      </c>
      <c r="J54" s="3" t="str">
        <f>IF(I54&lt;&gt;"","IO_LOC """&amp;I54&amp;""" "&amp;D54&amp;";", "")</f>
        <v>IO_LOC "ft601_data[18]" L5;</v>
      </c>
    </row>
    <row r="55" spans="1:10">
      <c r="A55" s="3">
        <v>32</v>
      </c>
      <c r="B55" s="4" t="s">
        <v>174</v>
      </c>
      <c r="C55" s="4">
        <v>3</v>
      </c>
      <c r="D55" s="4" t="s">
        <v>212</v>
      </c>
      <c r="E55" s="4" t="s">
        <v>65</v>
      </c>
      <c r="F55" s="4">
        <v>0</v>
      </c>
      <c r="G55" s="4"/>
      <c r="H55" s="3">
        <v>1.8</v>
      </c>
      <c r="I55" s="3" t="str">
        <f>_xlfn.XLOOKUP(D55, Sheet1!B$2:B$48, Sheet1!A$2:A$48, "")</f>
        <v>ft601_data[19]</v>
      </c>
      <c r="J55" s="3" t="str">
        <f>IF(I55&lt;&gt;"","IO_LOC """&amp;I55&amp;""" "&amp;D55&amp;";", "")</f>
        <v>IO_LOC "ft601_data[19]" L9;</v>
      </c>
    </row>
    <row r="56" spans="1:10">
      <c r="A56" s="3">
        <v>22</v>
      </c>
      <c r="B56" s="4" t="s">
        <v>174</v>
      </c>
      <c r="C56" s="4">
        <v>44</v>
      </c>
      <c r="D56" s="4" t="s">
        <v>211</v>
      </c>
      <c r="E56" s="4" t="s">
        <v>47</v>
      </c>
      <c r="F56" s="4">
        <v>7</v>
      </c>
      <c r="G56" s="4"/>
      <c r="H56" s="3">
        <v>1.8</v>
      </c>
      <c r="I56" s="3" t="str">
        <f>_xlfn.XLOOKUP(D56, Sheet1!B$2:B$48, Sheet1!A$2:A$48, "")</f>
        <v>ft601_data[2]</v>
      </c>
      <c r="J56" s="3" t="str">
        <f>IF(I56&lt;&gt;"","IO_LOC """&amp;I56&amp;""" "&amp;D56&amp;";", "")</f>
        <v>IO_LOC "ft601_data[2]" K10;</v>
      </c>
    </row>
    <row r="57" spans="1:10">
      <c r="A57" s="3">
        <v>33</v>
      </c>
      <c r="B57" s="4" t="s">
        <v>174</v>
      </c>
      <c r="C57" s="4">
        <v>5</v>
      </c>
      <c r="D57" s="4" t="s">
        <v>213</v>
      </c>
      <c r="E57" s="4" t="s">
        <v>66</v>
      </c>
      <c r="F57" s="4">
        <v>0</v>
      </c>
      <c r="G57" s="4"/>
      <c r="H57" s="3">
        <v>1.8</v>
      </c>
      <c r="I57" s="3" t="str">
        <f>_xlfn.XLOOKUP(D57, Sheet1!B$2:B$48, Sheet1!A$2:A$48, "")</f>
        <v>ft601_data[20]</v>
      </c>
      <c r="J57" s="3" t="str">
        <f>IF(I57&lt;&gt;"","IO_LOC """&amp;I57&amp;""" "&amp;D57&amp;";", "")</f>
        <v>IO_LOC "ft601_data[20]" K9;</v>
      </c>
    </row>
    <row r="58" spans="1:10">
      <c r="A58" s="3">
        <v>34</v>
      </c>
      <c r="B58" s="4" t="s">
        <v>174</v>
      </c>
      <c r="C58" s="4">
        <v>7</v>
      </c>
      <c r="D58" s="4" t="s">
        <v>214</v>
      </c>
      <c r="E58" s="4" t="s">
        <v>67</v>
      </c>
      <c r="F58" s="4">
        <v>0</v>
      </c>
      <c r="G58" s="4" t="s">
        <v>177</v>
      </c>
      <c r="H58" s="3">
        <v>1.8</v>
      </c>
      <c r="I58" s="3" t="str">
        <f>_xlfn.XLOOKUP(D58, Sheet1!B$2:B$48, Sheet1!A$2:A$48, "")</f>
        <v>ft601_data[21]</v>
      </c>
      <c r="J58" s="3" t="str">
        <f>IF(I58&lt;&gt;"","IO_LOC """&amp;I58&amp;""" "&amp;D58&amp;";", "")</f>
        <v>IO_LOC "ft601_data[21]" J8;</v>
      </c>
    </row>
    <row r="59" spans="1:10">
      <c r="A59" s="3">
        <v>35</v>
      </c>
      <c r="B59" s="4" t="s">
        <v>174</v>
      </c>
      <c r="C59" s="4">
        <v>9</v>
      </c>
      <c r="D59" s="4" t="s">
        <v>215</v>
      </c>
      <c r="E59" s="4" t="s">
        <v>68</v>
      </c>
      <c r="F59" s="4">
        <v>0</v>
      </c>
      <c r="G59" s="4" t="s">
        <v>177</v>
      </c>
      <c r="H59" s="3">
        <v>1.8</v>
      </c>
      <c r="I59" s="3" t="str">
        <f>_xlfn.XLOOKUP(D59, Sheet1!B$2:B$48, Sheet1!A$2:A$48, "")</f>
        <v>ft601_data[22]</v>
      </c>
      <c r="J59" s="3" t="str">
        <f>IF(I59&lt;&gt;"","IO_LOC """&amp;I59&amp;""" "&amp;D59&amp;";", "")</f>
        <v>IO_LOC "ft601_data[22]" K8;</v>
      </c>
    </row>
    <row r="60" spans="1:10">
      <c r="A60" s="3">
        <v>36</v>
      </c>
      <c r="B60" s="4" t="s">
        <v>174</v>
      </c>
      <c r="C60" s="4">
        <v>11</v>
      </c>
      <c r="D60" s="4" t="s">
        <v>216</v>
      </c>
      <c r="E60" s="4" t="s">
        <v>69</v>
      </c>
      <c r="F60" s="4">
        <v>0</v>
      </c>
      <c r="G60" s="4" t="s">
        <v>177</v>
      </c>
      <c r="H60" s="3">
        <v>1.8</v>
      </c>
      <c r="I60" s="3" t="str">
        <f>_xlfn.XLOOKUP(D60, Sheet1!B$2:B$48, Sheet1!A$2:A$48, "")</f>
        <v>ft601_data[23]</v>
      </c>
      <c r="J60" s="3" t="str">
        <f>IF(I60&lt;&gt;"","IO_LOC """&amp;I60&amp;""" "&amp;D60&amp;";", "")</f>
        <v>IO_LOC "ft601_data[23]" F7;</v>
      </c>
    </row>
    <row r="61" spans="1:10">
      <c r="A61" s="3">
        <v>37</v>
      </c>
      <c r="B61" s="4" t="s">
        <v>174</v>
      </c>
      <c r="C61" s="4">
        <v>13</v>
      </c>
      <c r="D61" s="4" t="s">
        <v>217</v>
      </c>
      <c r="E61" s="4" t="s">
        <v>70</v>
      </c>
      <c r="F61" s="4"/>
      <c r="G61" s="4" t="s">
        <v>177</v>
      </c>
      <c r="H61" s="3">
        <v>1.8</v>
      </c>
      <c r="I61" s="3" t="str">
        <f>_xlfn.XLOOKUP(D61, Sheet1!B$2:B$48, Sheet1!A$2:A$48, "")</f>
        <v>ft601_data[24]</v>
      </c>
      <c r="J61" s="3" t="str">
        <f>IF(I61&lt;&gt;"","IO_LOC """&amp;I61&amp;""" "&amp;D61&amp;";", "")</f>
        <v>IO_LOC "ft601_data[24]" F6;</v>
      </c>
    </row>
    <row r="62" spans="1:10">
      <c r="A62" s="3">
        <v>47</v>
      </c>
      <c r="B62" s="4" t="s">
        <v>174</v>
      </c>
      <c r="C62" s="4">
        <v>33</v>
      </c>
      <c r="D62" s="4" t="s">
        <v>218</v>
      </c>
      <c r="E62" s="4" t="s">
        <v>71</v>
      </c>
      <c r="F62" s="4">
        <v>7</v>
      </c>
      <c r="G62" s="4" t="s">
        <v>177</v>
      </c>
      <c r="H62" s="3">
        <v>1.8</v>
      </c>
      <c r="I62" s="3" t="str">
        <f>_xlfn.XLOOKUP(D62, Sheet1!B$2:B$48, Sheet1!A$2:A$48, "")</f>
        <v>ft601_data[25]</v>
      </c>
      <c r="J62" s="3" t="str">
        <f>IF(I62&lt;&gt;"","IO_LOC """&amp;I62&amp;""" "&amp;D62&amp;";", "")</f>
        <v>IO_LOC "ft601_data[25]" J11;</v>
      </c>
    </row>
    <row r="63" spans="1:10">
      <c r="A63" s="3">
        <v>48</v>
      </c>
      <c r="B63" s="4" t="s">
        <v>174</v>
      </c>
      <c r="C63" s="4">
        <v>35</v>
      </c>
      <c r="D63" s="4" t="s">
        <v>219</v>
      </c>
      <c r="E63" s="4" t="s">
        <v>72</v>
      </c>
      <c r="F63" s="4">
        <v>7</v>
      </c>
      <c r="G63" s="4" t="s">
        <v>177</v>
      </c>
      <c r="H63" s="3">
        <v>1.8</v>
      </c>
      <c r="I63" s="3" t="str">
        <f>_xlfn.XLOOKUP(D63, Sheet1!B$2:B$48, Sheet1!A$2:A$48, "")</f>
        <v>ft601_data[26]</v>
      </c>
      <c r="J63" s="3" t="str">
        <f>IF(I63&lt;&gt;"","IO_LOC """&amp;I63&amp;""" "&amp;D63&amp;";", "")</f>
        <v>IO_LOC "ft601_data[26]" J10;</v>
      </c>
    </row>
    <row r="64" spans="1:10">
      <c r="A64" s="3">
        <v>49</v>
      </c>
      <c r="B64" s="4" t="s">
        <v>174</v>
      </c>
      <c r="C64" s="4">
        <v>37</v>
      </c>
      <c r="D64" s="4" t="s">
        <v>220</v>
      </c>
      <c r="E64" s="4" t="s">
        <v>73</v>
      </c>
      <c r="F64" s="4">
        <v>7</v>
      </c>
      <c r="G64" s="4" t="s">
        <v>177</v>
      </c>
      <c r="H64" s="3">
        <v>1.8</v>
      </c>
      <c r="I64" s="3" t="str">
        <f>_xlfn.XLOOKUP(D64, Sheet1!B$2:B$48, Sheet1!A$2:A$48, "")</f>
        <v>ft601_data[27]</v>
      </c>
      <c r="J64" s="3" t="str">
        <f>IF(I64&lt;&gt;"","IO_LOC """&amp;I64&amp;""" "&amp;D64&amp;";", "")</f>
        <v>IO_LOC "ft601_data[27]" H11;</v>
      </c>
    </row>
    <row r="65" spans="1:10">
      <c r="A65" s="3">
        <v>50</v>
      </c>
      <c r="B65" s="4" t="s">
        <v>174</v>
      </c>
      <c r="C65" s="4">
        <v>39</v>
      </c>
      <c r="D65" s="4" t="s">
        <v>221</v>
      </c>
      <c r="E65" s="4" t="s">
        <v>74</v>
      </c>
      <c r="F65" s="4">
        <v>7</v>
      </c>
      <c r="G65" s="4" t="s">
        <v>177</v>
      </c>
      <c r="H65" s="3">
        <v>1.8</v>
      </c>
      <c r="I65" s="3" t="str">
        <f>_xlfn.XLOOKUP(D65, Sheet1!B$2:B$48, Sheet1!A$2:A$48, "")</f>
        <v>ft601_data[28]</v>
      </c>
      <c r="J65" s="3" t="str">
        <f>IF(I65&lt;&gt;"","IO_LOC """&amp;I65&amp;""" "&amp;D65&amp;";", "")</f>
        <v>IO_LOC "ft601_data[28]" H10;</v>
      </c>
    </row>
    <row r="66" spans="1:10">
      <c r="A66" s="3">
        <v>51</v>
      </c>
      <c r="B66" s="4" t="s">
        <v>174</v>
      </c>
      <c r="C66" s="4">
        <v>41</v>
      </c>
      <c r="D66" s="4" t="s">
        <v>222</v>
      </c>
      <c r="E66" s="4" t="s">
        <v>75</v>
      </c>
      <c r="F66" s="4">
        <v>7</v>
      </c>
      <c r="G66" s="4"/>
      <c r="H66" s="3">
        <v>1.8</v>
      </c>
      <c r="I66" s="3" t="str">
        <f>_xlfn.XLOOKUP(D66, Sheet1!B$2:B$48, Sheet1!A$2:A$48, "")</f>
        <v>ft601_data[29]</v>
      </c>
      <c r="J66" s="3" t="str">
        <f>IF(I66&lt;&gt;"","IO_LOC """&amp;I66&amp;""" "&amp;D66&amp;";", "")</f>
        <v>IO_LOC "ft601_data[29]" G11;</v>
      </c>
    </row>
    <row r="67" spans="1:10">
      <c r="A67" s="3">
        <v>21</v>
      </c>
      <c r="B67" s="4" t="s">
        <v>174</v>
      </c>
      <c r="C67" s="4">
        <v>42</v>
      </c>
      <c r="D67" s="4" t="s">
        <v>210</v>
      </c>
      <c r="E67" s="4" t="s">
        <v>48</v>
      </c>
      <c r="F67" s="4">
        <v>7</v>
      </c>
      <c r="G67" s="4"/>
      <c r="H67" s="3">
        <v>1.8</v>
      </c>
      <c r="I67" s="3" t="str">
        <f>_xlfn.XLOOKUP(D67, Sheet1!B$2:B$48, Sheet1!A$2:A$48, "")</f>
        <v>ft601_data[3]</v>
      </c>
      <c r="J67" s="3" t="str">
        <f>IF(I67&lt;&gt;"","IO_LOC """&amp;I67&amp;""" "&amp;D67&amp;";", "")</f>
        <v>IO_LOC "ft601_data[3]" L10;</v>
      </c>
    </row>
    <row r="68" spans="1:10">
      <c r="A68" s="3">
        <v>75</v>
      </c>
      <c r="B68" s="4" t="s">
        <v>82</v>
      </c>
      <c r="C68" s="4">
        <v>30</v>
      </c>
      <c r="D68" s="4" t="s">
        <v>255</v>
      </c>
      <c r="E68" s="4" t="s">
        <v>242</v>
      </c>
      <c r="F68" s="4">
        <v>3</v>
      </c>
      <c r="G68" s="4" t="s">
        <v>177</v>
      </c>
      <c r="H68" s="3">
        <v>1.8</v>
      </c>
      <c r="I68" s="3" t="str">
        <f>_xlfn.XLOOKUP(D68, Sheet1!B$2:B$48, Sheet1!A$2:A$48, "")</f>
        <v>ft601_data[30]</v>
      </c>
      <c r="J68" s="3" t="str">
        <f>IF(I68&lt;&gt;"","IO_LOC """&amp;I68&amp;""" "&amp;D68&amp;";", "")</f>
        <v>IO_LOC "ft601_data[30]" G4;</v>
      </c>
    </row>
    <row r="69" spans="1:10">
      <c r="A69" s="3">
        <v>74</v>
      </c>
      <c r="B69" s="4" t="s">
        <v>82</v>
      </c>
      <c r="C69" s="4">
        <v>28</v>
      </c>
      <c r="D69" s="4" t="s">
        <v>254</v>
      </c>
      <c r="E69" s="4" t="s">
        <v>241</v>
      </c>
      <c r="F69" s="4">
        <v>2</v>
      </c>
      <c r="G69" s="4" t="s">
        <v>177</v>
      </c>
      <c r="H69" s="3">
        <v>1.8</v>
      </c>
      <c r="I69" s="3" t="str">
        <f>_xlfn.XLOOKUP(D69, Sheet1!B$2:B$48, Sheet1!A$2:A$48, "")</f>
        <v>ft601_data[31]</v>
      </c>
      <c r="J69" s="3" t="str">
        <f>IF(I69&lt;&gt;"","IO_LOC """&amp;I69&amp;""" "&amp;D69&amp;";", "")</f>
        <v>IO_LOC "ft601_data[31]" J2;</v>
      </c>
    </row>
    <row r="70" spans="1:10">
      <c r="A70" s="3">
        <v>20</v>
      </c>
      <c r="B70" s="4" t="s">
        <v>174</v>
      </c>
      <c r="C70" s="4">
        <v>40</v>
      </c>
      <c r="D70" s="4" t="s">
        <v>209</v>
      </c>
      <c r="E70" s="4" t="s">
        <v>49</v>
      </c>
      <c r="F70" s="4">
        <v>7</v>
      </c>
      <c r="G70" s="4"/>
      <c r="H70" s="3">
        <v>1.8</v>
      </c>
      <c r="I70" s="3" t="str">
        <f>_xlfn.XLOOKUP(D70, Sheet1!B$2:B$48, Sheet1!A$2:A$48, "")</f>
        <v>ft601_data[4]</v>
      </c>
      <c r="J70" s="3" t="str">
        <f>IF(I70&lt;&gt;"","IO_LOC """&amp;I70&amp;""" "&amp;D70&amp;";", "")</f>
        <v>IO_LOC "ft601_data[4]" L8;</v>
      </c>
    </row>
    <row r="71" spans="1:10">
      <c r="A71" s="3">
        <v>19</v>
      </c>
      <c r="B71" s="4" t="s">
        <v>174</v>
      </c>
      <c r="C71" s="4">
        <v>38</v>
      </c>
      <c r="D71" s="4" t="s">
        <v>208</v>
      </c>
      <c r="E71" s="4" t="s">
        <v>50</v>
      </c>
      <c r="F71" s="4">
        <v>7</v>
      </c>
      <c r="G71" s="4"/>
      <c r="H71" s="3">
        <v>1.8</v>
      </c>
      <c r="I71" s="3" t="str">
        <f>_xlfn.XLOOKUP(D71, Sheet1!B$2:B$48, Sheet1!A$2:A$48, "")</f>
        <v>ft601_data[5]</v>
      </c>
      <c r="J71" s="3" t="str">
        <f>IF(I71&lt;&gt;"","IO_LOC """&amp;I71&amp;""" "&amp;D71&amp;";", "")</f>
        <v>IO_LOC "ft601_data[5]" L7;</v>
      </c>
    </row>
    <row r="72" spans="1:10">
      <c r="A72" s="3">
        <v>18</v>
      </c>
      <c r="B72" s="4" t="s">
        <v>174</v>
      </c>
      <c r="C72" s="4">
        <v>36</v>
      </c>
      <c r="D72" s="4" t="s">
        <v>207</v>
      </c>
      <c r="E72" s="4" t="s">
        <v>51</v>
      </c>
      <c r="F72" s="4">
        <v>7</v>
      </c>
      <c r="G72" s="4"/>
      <c r="H72" s="3">
        <v>1.8</v>
      </c>
      <c r="I72" s="3" t="str">
        <f>_xlfn.XLOOKUP(D72, Sheet1!B$2:B$48, Sheet1!A$2:A$48, "")</f>
        <v>ft601_data[6]</v>
      </c>
      <c r="J72" s="3" t="str">
        <f>IF(I72&lt;&gt;"","IO_LOC """&amp;I72&amp;""" "&amp;D72&amp;";", "")</f>
        <v>IO_LOC "ft601_data[6]" J7;</v>
      </c>
    </row>
    <row r="73" spans="1:10">
      <c r="A73" s="3">
        <v>17</v>
      </c>
      <c r="B73" s="4" t="s">
        <v>174</v>
      </c>
      <c r="C73" s="4">
        <v>34</v>
      </c>
      <c r="D73" s="4" t="s">
        <v>206</v>
      </c>
      <c r="E73" s="4" t="s">
        <v>319</v>
      </c>
      <c r="F73" s="4">
        <v>7</v>
      </c>
      <c r="G73" s="4"/>
      <c r="H73" s="3">
        <v>1.8</v>
      </c>
      <c r="I73" s="3" t="str">
        <f>_xlfn.XLOOKUP(D73, Sheet1!B$2:B$48, Sheet1!A$2:A$48, "")</f>
        <v>ft601_data[7]</v>
      </c>
      <c r="J73" s="3" t="str">
        <f>IF(I73&lt;&gt;"","IO_LOC """&amp;I73&amp;""" "&amp;D73&amp;";", "")</f>
        <v>IO_LOC "ft601_data[7]" K7;</v>
      </c>
    </row>
    <row r="74" spans="1:10">
      <c r="A74" s="3">
        <v>16</v>
      </c>
      <c r="B74" s="4" t="s">
        <v>174</v>
      </c>
      <c r="C74" s="4">
        <v>32</v>
      </c>
      <c r="D74" s="4" t="s">
        <v>205</v>
      </c>
      <c r="E74" s="4" t="s">
        <v>53</v>
      </c>
      <c r="F74" s="4">
        <v>7</v>
      </c>
      <c r="G74" s="4"/>
      <c r="H74" s="3">
        <v>1.8</v>
      </c>
      <c r="I74" s="3" t="str">
        <f>_xlfn.XLOOKUP(D74, Sheet1!B$2:B$48, Sheet1!A$2:A$48, "")</f>
        <v>ft601_data[8]</v>
      </c>
      <c r="J74" s="3" t="str">
        <f>IF(I74&lt;&gt;"","IO_LOC """&amp;I74&amp;""" "&amp;D74&amp;";", "")</f>
        <v>IO_LOC "ft601_data[8]" K6;</v>
      </c>
    </row>
    <row r="75" spans="1:10">
      <c r="A75" s="3">
        <v>15</v>
      </c>
      <c r="B75" s="4" t="s">
        <v>174</v>
      </c>
      <c r="C75" s="4">
        <v>30</v>
      </c>
      <c r="D75" s="4" t="s">
        <v>201</v>
      </c>
      <c r="E75" s="4" t="s">
        <v>54</v>
      </c>
      <c r="F75" s="4">
        <v>7</v>
      </c>
      <c r="G75" s="4"/>
      <c r="H75" s="3">
        <v>1.8</v>
      </c>
      <c r="I75" s="3" t="str">
        <f>_xlfn.XLOOKUP(D75, Sheet1!B$2:B$48, Sheet1!A$2:A$48, "")</f>
        <v>ft601_data[9]</v>
      </c>
      <c r="J75" s="3" t="str">
        <f>IF(I75&lt;&gt;"","IO_LOC """&amp;I75&amp;""" "&amp;D75&amp;";", "")</f>
        <v>IO_LOC "ft601_data[9]" L6;</v>
      </c>
    </row>
    <row r="76" spans="1:10">
      <c r="A76" s="3">
        <v>77</v>
      </c>
      <c r="B76" s="4" t="s">
        <v>82</v>
      </c>
      <c r="C76" s="4">
        <v>34</v>
      </c>
      <c r="D76" s="4" t="s">
        <v>257</v>
      </c>
      <c r="E76" s="4" t="s">
        <v>244</v>
      </c>
      <c r="F76" s="4">
        <v>3</v>
      </c>
      <c r="G76" s="4" t="s">
        <v>177</v>
      </c>
      <c r="H76" s="3">
        <v>1.8</v>
      </c>
      <c r="I76" s="3" t="str">
        <f>_xlfn.XLOOKUP(D76, Sheet1!B$2:B$48, Sheet1!A$2:A$48, "")</f>
        <v>ft601_gpio[0]</v>
      </c>
      <c r="J76" s="3" t="str">
        <f>IF(I76&lt;&gt;"","IO_LOC """&amp;I76&amp;""" "&amp;D76&amp;";", "")</f>
        <v>IO_LOC "ft601_gpio[0]" H1;</v>
      </c>
    </row>
    <row r="77" spans="1:10">
      <c r="A77" s="3">
        <v>78</v>
      </c>
      <c r="B77" s="4" t="s">
        <v>82</v>
      </c>
      <c r="C77" s="4">
        <v>36</v>
      </c>
      <c r="D77" s="4" t="s">
        <v>258</v>
      </c>
      <c r="E77" s="4" t="s">
        <v>245</v>
      </c>
      <c r="F77" s="4">
        <v>3</v>
      </c>
      <c r="G77" s="4" t="s">
        <v>177</v>
      </c>
      <c r="H77" s="3">
        <v>1.8</v>
      </c>
      <c r="I77" s="3" t="str">
        <f>_xlfn.XLOOKUP(D77, Sheet1!B$2:B$48, Sheet1!A$2:A$48, "")</f>
        <v>ft601_gpio[1]</v>
      </c>
      <c r="J77" s="3" t="str">
        <f>IF(I77&lt;&gt;"","IO_LOC """&amp;I77&amp;""" "&amp;D77&amp;";", "")</f>
        <v>IO_LOC "ft601_gpio[1]" H2;</v>
      </c>
    </row>
    <row r="78" spans="1:10">
      <c r="A78" s="3">
        <v>64</v>
      </c>
      <c r="B78" s="4" t="s">
        <v>82</v>
      </c>
      <c r="C78" s="4">
        <v>8</v>
      </c>
      <c r="D78" s="4" t="s">
        <v>85</v>
      </c>
      <c r="E78" s="4" t="s">
        <v>42</v>
      </c>
      <c r="F78" s="4">
        <v>2</v>
      </c>
      <c r="G78" s="4"/>
      <c r="H78" s="3">
        <v>1.8</v>
      </c>
      <c r="I78" s="3" t="str">
        <f>_xlfn.XLOOKUP(D78, Sheet1!B$2:B$48, Sheet1!A$2:A$48, "")</f>
        <v>ft601_oe_n</v>
      </c>
      <c r="J78" s="3" t="str">
        <f>IF(I78&lt;&gt;"","IO_LOC """&amp;I78&amp;""" "&amp;D78&amp;";", "")</f>
        <v>IO_LOC "ft601_oe_n" L1;</v>
      </c>
    </row>
    <row r="79" spans="1:10">
      <c r="A79" s="3">
        <v>65</v>
      </c>
      <c r="B79" s="4" t="s">
        <v>82</v>
      </c>
      <c r="C79" s="4">
        <v>10</v>
      </c>
      <c r="D79" s="4" t="s">
        <v>84</v>
      </c>
      <c r="E79" s="4" t="s">
        <v>41</v>
      </c>
      <c r="F79" s="4">
        <v>2</v>
      </c>
      <c r="G79" s="4"/>
      <c r="H79" s="3">
        <v>1.8</v>
      </c>
      <c r="I79" s="3" t="str">
        <f>_xlfn.XLOOKUP(D79, Sheet1!B$2:B$48, Sheet1!A$2:A$48, "")</f>
        <v>ft601_rd_n</v>
      </c>
      <c r="J79" s="3" t="str">
        <f>IF(I79&lt;&gt;"","IO_LOC """&amp;I79&amp;""" "&amp;D79&amp;";", "")</f>
        <v>IO_LOC "ft601_rd_n" K1;</v>
      </c>
    </row>
    <row r="80" spans="1:10">
      <c r="A80" s="3">
        <v>63</v>
      </c>
      <c r="B80" s="4" t="s">
        <v>82</v>
      </c>
      <c r="C80" s="4">
        <v>6</v>
      </c>
      <c r="D80" s="4" t="s">
        <v>250</v>
      </c>
      <c r="E80" s="4" t="s">
        <v>237</v>
      </c>
      <c r="F80" s="4">
        <v>2</v>
      </c>
      <c r="G80" s="4"/>
      <c r="H80" s="3">
        <v>1.8</v>
      </c>
      <c r="I80" s="3" t="str">
        <f>_xlfn.XLOOKUP(D80, Sheet1!B$2:B$48, Sheet1!A$2:A$48, "")</f>
        <v>ft601_reset_n</v>
      </c>
      <c r="J80" s="3" t="str">
        <f>IF(I80&lt;&gt;"","IO_LOC """&amp;I80&amp;""" "&amp;D80&amp;";", "")</f>
        <v>IO_LOC "ft601_reset_n" L2;</v>
      </c>
    </row>
    <row r="81" spans="1:10">
      <c r="A81" s="3">
        <v>68</v>
      </c>
      <c r="B81" s="4" t="s">
        <v>82</v>
      </c>
      <c r="C81" s="4">
        <v>16</v>
      </c>
      <c r="D81" s="4" t="s">
        <v>81</v>
      </c>
      <c r="E81" s="4" t="s">
        <v>38</v>
      </c>
      <c r="F81" s="4">
        <v>2</v>
      </c>
      <c r="G81" s="4"/>
      <c r="H81" s="3">
        <v>1.8</v>
      </c>
      <c r="I81" s="3" t="str">
        <f>_xlfn.XLOOKUP(D81, Sheet1!B$2:B$48, Sheet1!A$2:A$48, "")</f>
        <v>ft601_rxf_n</v>
      </c>
      <c r="J81" s="3" t="str">
        <f>IF(I81&lt;&gt;"","IO_LOC """&amp;I81&amp;""" "&amp;D81&amp;";", "")</f>
        <v>IO_LOC "ft601_rxf_n" K4;</v>
      </c>
    </row>
    <row r="82" spans="1:10">
      <c r="A82" s="3">
        <v>67</v>
      </c>
      <c r="B82" s="4" t="s">
        <v>82</v>
      </c>
      <c r="C82" s="4">
        <v>14</v>
      </c>
      <c r="D82" s="4" t="s">
        <v>82</v>
      </c>
      <c r="E82" s="4" t="s">
        <v>39</v>
      </c>
      <c r="F82" s="4">
        <v>2</v>
      </c>
      <c r="G82" s="4"/>
      <c r="H82" s="3">
        <v>1.8</v>
      </c>
      <c r="I82" s="3" t="str">
        <f>_xlfn.XLOOKUP(D82, Sheet1!B$2:B$48, Sheet1!A$2:A$48, "")</f>
        <v>ft601_siwu_n</v>
      </c>
      <c r="J82" s="3" t="str">
        <f>IF(I82&lt;&gt;"","IO_LOC """&amp;I82&amp;""" "&amp;D82&amp;";", "")</f>
        <v>IO_LOC "ft601_siwu_n" J4;</v>
      </c>
    </row>
    <row r="83" spans="1:10">
      <c r="A83" s="3">
        <v>69</v>
      </c>
      <c r="B83" s="4" t="s">
        <v>82</v>
      </c>
      <c r="C83" s="4">
        <v>18</v>
      </c>
      <c r="D83" s="4" t="s">
        <v>251</v>
      </c>
      <c r="E83" s="4" t="s">
        <v>238</v>
      </c>
      <c r="F83" s="4">
        <v>2</v>
      </c>
      <c r="G83" s="4" t="s">
        <v>273</v>
      </c>
      <c r="H83" s="3">
        <v>1.8</v>
      </c>
      <c r="I83" s="3" t="str">
        <f>_xlfn.XLOOKUP(D83, Sheet1!B$2:B$48, Sheet1!A$2:A$48, "")</f>
        <v>ft601_txe_n</v>
      </c>
      <c r="J83" s="3" t="str">
        <f>IF(I83&lt;&gt;"","IO_LOC """&amp;I83&amp;""" "&amp;D83&amp;";", "")</f>
        <v>IO_LOC "ft601_txe_n" G2;</v>
      </c>
    </row>
    <row r="84" spans="1:10">
      <c r="A84" s="3">
        <v>76</v>
      </c>
      <c r="B84" s="4" t="s">
        <v>82</v>
      </c>
      <c r="C84" s="4">
        <v>32</v>
      </c>
      <c r="D84" s="4" t="s">
        <v>256</v>
      </c>
      <c r="E84" s="4" t="s">
        <v>243</v>
      </c>
      <c r="F84" s="4">
        <v>3</v>
      </c>
      <c r="G84" s="4" t="s">
        <v>177</v>
      </c>
      <c r="H84" s="3">
        <v>1.8</v>
      </c>
      <c r="I84" s="3" t="str">
        <f>_xlfn.XLOOKUP(D84, Sheet1!B$2:B$48, Sheet1!A$2:A$48, "")</f>
        <v>ft601_wakeup</v>
      </c>
      <c r="J84" s="3" t="str">
        <f>IF(I84&lt;&gt;"","IO_LOC """&amp;I84&amp;""" "&amp;D84&amp;";", "")</f>
        <v>IO_LOC "ft601_wakeup" H4;</v>
      </c>
    </row>
    <row r="85" spans="1:10">
      <c r="A85" s="3">
        <v>66</v>
      </c>
      <c r="B85" s="4" t="s">
        <v>82</v>
      </c>
      <c r="C85" s="4">
        <v>12</v>
      </c>
      <c r="D85" s="4" t="s">
        <v>83</v>
      </c>
      <c r="E85" s="4" t="s">
        <v>40</v>
      </c>
      <c r="F85" s="4">
        <v>2</v>
      </c>
      <c r="G85" s="4"/>
      <c r="H85" s="3">
        <v>1.8</v>
      </c>
      <c r="I85" s="3" t="str">
        <f>_xlfn.XLOOKUP(D85, Sheet1!B$2:B$48, Sheet1!A$2:A$48, "")</f>
        <v>ft601_wr_n</v>
      </c>
      <c r="J85" s="3" t="str">
        <f>IF(I85&lt;&gt;"","IO_LOC """&amp;I85&amp;""" "&amp;D85&amp;";", "")</f>
        <v>IO_LOC "ft601_wr_n" K2;</v>
      </c>
    </row>
    <row r="86" spans="1:10">
      <c r="A86" s="3">
        <v>0</v>
      </c>
      <c r="B86" s="4"/>
      <c r="C86" s="4"/>
      <c r="D86" s="4" t="s">
        <v>315</v>
      </c>
      <c r="E86" s="4" t="s">
        <v>316</v>
      </c>
      <c r="F86" s="4">
        <v>5</v>
      </c>
      <c r="G86" s="4"/>
      <c r="H86" s="4">
        <v>3.3</v>
      </c>
      <c r="I86" s="3" t="s">
        <v>318</v>
      </c>
      <c r="J86" s="3" t="str">
        <f>IF(I86&lt;&gt;"","IO_LOC """&amp;I86&amp;""" "&amp;D86&amp;";", "")</f>
        <v>IO_LOC "in_clk50" E2;</v>
      </c>
    </row>
    <row r="87" spans="1:10">
      <c r="A87" s="3">
        <v>101</v>
      </c>
      <c r="B87" s="4" t="s">
        <v>82</v>
      </c>
      <c r="C87" s="4">
        <v>21</v>
      </c>
      <c r="D87" s="4" t="s">
        <v>288</v>
      </c>
      <c r="E87" s="4" t="s">
        <v>274</v>
      </c>
      <c r="F87" s="4">
        <v>10</v>
      </c>
      <c r="G87" s="4"/>
      <c r="H87" s="3">
        <v>3.3</v>
      </c>
      <c r="I87" s="3" t="s">
        <v>296</v>
      </c>
      <c r="J87" s="3" t="str">
        <f>IF(I87&lt;&gt;"","IO_LOC """&amp;I87&amp;""" "&amp;D87&amp;";", "")</f>
        <v>IO_LOC "JTAG" C1;</v>
      </c>
    </row>
    <row r="88" spans="1:10">
      <c r="A88" s="3">
        <v>102</v>
      </c>
      <c r="B88" s="4" t="s">
        <v>82</v>
      </c>
      <c r="C88" s="4">
        <v>23</v>
      </c>
      <c r="D88" s="4" t="s">
        <v>289</v>
      </c>
      <c r="E88" s="4" t="s">
        <v>275</v>
      </c>
      <c r="F88" s="4">
        <v>10</v>
      </c>
      <c r="G88" s="4"/>
      <c r="H88" s="3">
        <v>3.3</v>
      </c>
      <c r="I88" s="3" t="s">
        <v>296</v>
      </c>
      <c r="J88" s="3" t="str">
        <f>IF(I88&lt;&gt;"","IO_LOC """&amp;I88&amp;""" "&amp;D88&amp;";", "")</f>
        <v>IO_LOC "JTAG" B1;</v>
      </c>
    </row>
    <row r="89" spans="1:10">
      <c r="A89" s="3">
        <v>103</v>
      </c>
      <c r="B89" s="4" t="s">
        <v>82</v>
      </c>
      <c r="C89" s="4">
        <v>25</v>
      </c>
      <c r="D89" s="4" t="s">
        <v>290</v>
      </c>
      <c r="E89" s="4" t="s">
        <v>276</v>
      </c>
      <c r="F89" s="4">
        <v>10</v>
      </c>
      <c r="G89" s="4"/>
      <c r="H89" s="3">
        <v>3.3</v>
      </c>
      <c r="I89" s="3" t="s">
        <v>296</v>
      </c>
      <c r="J89" s="3" t="str">
        <f>IF(I89&lt;&gt;"","IO_LOC """&amp;I89&amp;""" "&amp;D89&amp;";", "")</f>
        <v>IO_LOC "JTAG" A2;</v>
      </c>
    </row>
    <row r="90" spans="1:10">
      <c r="A90" s="3">
        <v>104</v>
      </c>
      <c r="B90" s="4" t="s">
        <v>82</v>
      </c>
      <c r="C90" s="4">
        <v>27</v>
      </c>
      <c r="D90" s="4" t="s">
        <v>291</v>
      </c>
      <c r="E90" s="4" t="s">
        <v>277</v>
      </c>
      <c r="F90" s="4">
        <v>10</v>
      </c>
      <c r="G90" s="4"/>
      <c r="H90" s="3">
        <v>3.3</v>
      </c>
      <c r="I90" s="3" t="s">
        <v>296</v>
      </c>
      <c r="J90" s="3" t="str">
        <f>IF(I90&lt;&gt;"","IO_LOC """&amp;I90&amp;""" "&amp;D90&amp;";", "")</f>
        <v>IO_LOC "JTAG" A3;</v>
      </c>
    </row>
    <row r="91" spans="1:10">
      <c r="A91" s="3">
        <v>26</v>
      </c>
      <c r="B91" s="4" t="s">
        <v>174</v>
      </c>
      <c r="C91" s="4">
        <v>52</v>
      </c>
      <c r="D91" s="4" t="s">
        <v>196</v>
      </c>
      <c r="E91" s="4" t="s">
        <v>178</v>
      </c>
      <c r="F91" s="4">
        <v>6</v>
      </c>
      <c r="G91" s="4"/>
      <c r="H91" s="3"/>
      <c r="I91" s="3" t="s">
        <v>308</v>
      </c>
      <c r="J91" s="3" t="str">
        <f>IF(I91&lt;&gt;"","IO_LOC """&amp;I91&amp;""" "&amp;D91&amp;";", "")</f>
        <v>IO_LOC "led[0]" E11;</v>
      </c>
    </row>
    <row r="92" spans="1:10">
      <c r="A92" s="3">
        <v>27</v>
      </c>
      <c r="B92" s="4" t="s">
        <v>174</v>
      </c>
      <c r="C92" s="4">
        <v>54</v>
      </c>
      <c r="D92" s="4" t="s">
        <v>197</v>
      </c>
      <c r="E92" s="4" t="s">
        <v>179</v>
      </c>
      <c r="F92" s="4">
        <v>6</v>
      </c>
      <c r="G92" s="4"/>
      <c r="H92" s="3"/>
      <c r="I92" s="3" t="s">
        <v>330</v>
      </c>
      <c r="J92" s="3" t="str">
        <f>IF(I92&lt;&gt;"","IO_LOC """&amp;I92&amp;""" "&amp;D92&amp;";", "")</f>
        <v>IO_LOC "led[1]" E10;</v>
      </c>
    </row>
    <row r="93" spans="1:10">
      <c r="A93" s="3">
        <v>28</v>
      </c>
      <c r="B93" s="4" t="s">
        <v>174</v>
      </c>
      <c r="C93" s="4">
        <v>56</v>
      </c>
      <c r="D93" s="4" t="s">
        <v>235</v>
      </c>
      <c r="E93" s="4" t="s">
        <v>180</v>
      </c>
      <c r="F93" s="4">
        <v>6</v>
      </c>
      <c r="G93" s="4"/>
      <c r="H93" s="3"/>
      <c r="I93" s="3" t="s">
        <v>331</v>
      </c>
      <c r="J93" s="3" t="str">
        <f>IF(I93&lt;&gt;"","IO_LOC """&amp;I93&amp;""" "&amp;D93&amp;";", "")</f>
        <v>IO_LOC "led[2]" A11;</v>
      </c>
    </row>
    <row r="94" spans="1:10">
      <c r="A94" s="3">
        <v>29</v>
      </c>
      <c r="B94" s="4" t="s">
        <v>174</v>
      </c>
      <c r="C94" s="4">
        <v>58</v>
      </c>
      <c r="D94" s="4" t="s">
        <v>198</v>
      </c>
      <c r="E94" s="4" t="s">
        <v>181</v>
      </c>
      <c r="F94" s="4">
        <v>6</v>
      </c>
      <c r="G94" s="4"/>
      <c r="H94" s="3"/>
      <c r="I94" s="3" t="s">
        <v>332</v>
      </c>
      <c r="J94" s="3" t="str">
        <f>IF(I94&lt;&gt;"","IO_LOC """&amp;I94&amp;""" "&amp;D94&amp;";", "")</f>
        <v>IO_LOC "led[3]" A10;</v>
      </c>
    </row>
    <row r="95" spans="1:10">
      <c r="A95" s="3">
        <v>113</v>
      </c>
      <c r="B95" s="4" t="s">
        <v>82</v>
      </c>
      <c r="C95" s="4">
        <v>45</v>
      </c>
      <c r="D95" s="4" t="s">
        <v>344</v>
      </c>
      <c r="E95" s="4" t="s">
        <v>283</v>
      </c>
      <c r="F95" s="4"/>
      <c r="G95" s="4"/>
      <c r="H95" s="3"/>
      <c r="I95" s="3" t="s">
        <v>298</v>
      </c>
      <c r="J95" s="3" t="str">
        <f>IF(I95&lt;&gt;"","IO_LOC """&amp;I95&amp;""" "&amp;D95&amp;";", "")</f>
        <v>IO_LOC "mipi_ck_n" B7;</v>
      </c>
    </row>
    <row r="96" spans="1:10">
      <c r="A96" s="3">
        <v>112</v>
      </c>
      <c r="B96" s="4" t="s">
        <v>82</v>
      </c>
      <c r="C96" s="4">
        <v>43</v>
      </c>
      <c r="D96" s="4" t="s">
        <v>343</v>
      </c>
      <c r="E96" s="4" t="s">
        <v>282</v>
      </c>
      <c r="F96" s="4"/>
      <c r="G96" s="4"/>
      <c r="H96" s="3"/>
      <c r="I96" s="3" t="s">
        <v>297</v>
      </c>
      <c r="J96" s="3" t="str">
        <f>IF(I96&lt;&gt;"","IO_LOC """&amp;I96&amp;""" "&amp;D96&amp;";", "")</f>
        <v>IO_LOC "mipi_ck_p" A7;</v>
      </c>
    </row>
    <row r="97" spans="1:10">
      <c r="A97" s="3">
        <v>116</v>
      </c>
      <c r="B97" s="4" t="s">
        <v>82</v>
      </c>
      <c r="C97" s="4">
        <v>51</v>
      </c>
      <c r="D97" s="4" t="s">
        <v>346</v>
      </c>
      <c r="E97" s="4" t="s">
        <v>285</v>
      </c>
      <c r="F97" s="4"/>
      <c r="G97" s="4"/>
      <c r="H97" s="3"/>
      <c r="I97" s="3" t="s">
        <v>304</v>
      </c>
      <c r="J97" s="3" t="str">
        <f>IF(I97&lt;&gt;"","IO_LOC """&amp;I97&amp;""" "&amp;D97&amp;";", "")</f>
        <v>IO_LOC "mipi_d_n[1]" B8;</v>
      </c>
    </row>
    <row r="98" spans="1:10">
      <c r="A98" s="3">
        <v>119</v>
      </c>
      <c r="B98" s="4" t="s">
        <v>82</v>
      </c>
      <c r="C98" s="4">
        <v>57</v>
      </c>
      <c r="D98" s="4" t="s">
        <v>348</v>
      </c>
      <c r="E98" s="4" t="s">
        <v>287</v>
      </c>
      <c r="F98" s="4"/>
      <c r="G98" s="4"/>
      <c r="H98" s="3"/>
      <c r="I98" s="3" t="s">
        <v>304</v>
      </c>
      <c r="J98" s="3" t="str">
        <f>IF(I98&lt;&gt;"","IO_LOC """&amp;I98&amp;""" "&amp;D98&amp;";", "")</f>
        <v>IO_LOC "mipi_d_n[1]" B9;</v>
      </c>
    </row>
    <row r="99" spans="1:10">
      <c r="A99" s="3">
        <v>110</v>
      </c>
      <c r="B99" s="4" t="s">
        <v>82</v>
      </c>
      <c r="C99" s="4">
        <v>39</v>
      </c>
      <c r="D99" s="4" t="s">
        <v>342</v>
      </c>
      <c r="E99" s="4" t="s">
        <v>281</v>
      </c>
      <c r="F99" s="4"/>
      <c r="G99" s="4"/>
      <c r="H99" s="3"/>
      <c r="I99" s="3" t="s">
        <v>302</v>
      </c>
      <c r="J99" s="3" t="str">
        <f>IF(I99&lt;&gt;"","IO_LOC """&amp;I99&amp;""" "&amp;D99&amp;";", "")</f>
        <v>IO_LOC "mipi_d_n[2]" B6;</v>
      </c>
    </row>
    <row r="100" spans="1:10">
      <c r="A100" s="3">
        <v>107</v>
      </c>
      <c r="B100" s="4" t="s">
        <v>82</v>
      </c>
      <c r="C100" s="4">
        <v>33</v>
      </c>
      <c r="D100" s="4" t="s">
        <v>340</v>
      </c>
      <c r="E100" s="4" t="s">
        <v>279</v>
      </c>
      <c r="F100" s="4"/>
      <c r="G100" s="4"/>
      <c r="H100" s="3"/>
      <c r="I100" s="3" t="s">
        <v>300</v>
      </c>
      <c r="J100" s="3" t="str">
        <f>IF(I100&lt;&gt;"","IO_LOC """&amp;I100&amp;""" "&amp;D100&amp;";", "")</f>
        <v>IO_LOC "mipi_d_n[3]" B5;</v>
      </c>
    </row>
    <row r="101" spans="1:10">
      <c r="A101" s="3">
        <v>115</v>
      </c>
      <c r="B101" s="4" t="s">
        <v>82</v>
      </c>
      <c r="C101" s="4">
        <v>49</v>
      </c>
      <c r="D101" s="4" t="s">
        <v>345</v>
      </c>
      <c r="E101" s="4" t="s">
        <v>284</v>
      </c>
      <c r="F101" s="4"/>
      <c r="G101" s="4"/>
      <c r="H101" s="3"/>
      <c r="I101" s="3" t="s">
        <v>303</v>
      </c>
      <c r="J101" s="3" t="str">
        <f>IF(I101&lt;&gt;"","IO_LOC """&amp;I101&amp;""" "&amp;D101&amp;";", "")</f>
        <v>IO_LOC "mipi_d_p[1]" A8;</v>
      </c>
    </row>
    <row r="102" spans="1:10">
      <c r="A102" s="3">
        <v>118</v>
      </c>
      <c r="B102" s="4" t="s">
        <v>82</v>
      </c>
      <c r="C102" s="4">
        <v>55</v>
      </c>
      <c r="D102" s="4" t="s">
        <v>347</v>
      </c>
      <c r="E102" s="4" t="s">
        <v>286</v>
      </c>
      <c r="F102" s="4"/>
      <c r="G102" s="4"/>
      <c r="H102" s="3"/>
      <c r="I102" s="3" t="s">
        <v>303</v>
      </c>
      <c r="J102" s="3" t="str">
        <f>IF(I102&lt;&gt;"","IO_LOC """&amp;I102&amp;""" "&amp;D102&amp;";", "")</f>
        <v>IO_LOC "mipi_d_p[1]" A9;</v>
      </c>
    </row>
    <row r="103" spans="1:10">
      <c r="A103" s="3">
        <v>109</v>
      </c>
      <c r="B103" s="4" t="s">
        <v>82</v>
      </c>
      <c r="C103" s="4">
        <v>37</v>
      </c>
      <c r="D103" s="4" t="s">
        <v>341</v>
      </c>
      <c r="E103" s="4" t="s">
        <v>280</v>
      </c>
      <c r="F103" s="4"/>
      <c r="G103" s="4"/>
      <c r="H103" s="3"/>
      <c r="I103" s="3" t="s">
        <v>301</v>
      </c>
      <c r="J103" s="3" t="str">
        <f>IF(I103&lt;&gt;"","IO_LOC """&amp;I103&amp;""" "&amp;D103&amp;";", "")</f>
        <v>IO_LOC "mipi_d_p[2]" A6;</v>
      </c>
    </row>
    <row r="104" spans="1:10">
      <c r="A104" s="3">
        <v>106</v>
      </c>
      <c r="B104" s="4" t="s">
        <v>82</v>
      </c>
      <c r="C104" s="4">
        <v>31</v>
      </c>
      <c r="D104" s="4" t="s">
        <v>339</v>
      </c>
      <c r="E104" s="4" t="s">
        <v>278</v>
      </c>
      <c r="F104" s="4"/>
      <c r="G104" s="4"/>
      <c r="H104" s="3"/>
      <c r="I104" s="3" t="s">
        <v>299</v>
      </c>
      <c r="J104" s="3" t="str">
        <f>IF(I104&lt;&gt;"","IO_LOC """&amp;I104&amp;""" "&amp;D104&amp;";", "")</f>
        <v>IO_LOC "mipi_d_p[3]" A5;</v>
      </c>
    </row>
    <row r="105" spans="1:10">
      <c r="A105" s="3">
        <v>96</v>
      </c>
      <c r="B105" s="4" t="s">
        <v>82</v>
      </c>
      <c r="C105" s="4">
        <v>11</v>
      </c>
      <c r="D105" s="4" t="s">
        <v>269</v>
      </c>
      <c r="E105" s="4" t="s">
        <v>262</v>
      </c>
      <c r="F105" s="4">
        <v>5</v>
      </c>
      <c r="G105" s="4"/>
      <c r="H105" s="3">
        <v>3.3</v>
      </c>
      <c r="I105" s="3" t="s">
        <v>328</v>
      </c>
      <c r="J105" s="3" t="str">
        <f>IF(I105&lt;&gt;"","IO_LOC """&amp;I105&amp;""" "&amp;D105&amp;";", "")</f>
        <v>IO_LOC "mipi_gpio[0]" A1;</v>
      </c>
    </row>
    <row r="106" spans="1:10">
      <c r="A106" s="3">
        <v>42</v>
      </c>
      <c r="B106" s="4" t="s">
        <v>174</v>
      </c>
      <c r="C106" s="4">
        <v>23</v>
      </c>
      <c r="D106" s="4" t="s">
        <v>204</v>
      </c>
      <c r="E106" s="4" t="s">
        <v>182</v>
      </c>
      <c r="F106" s="4">
        <v>4</v>
      </c>
      <c r="G106" s="4"/>
      <c r="H106" s="3">
        <v>3.3</v>
      </c>
      <c r="I106" s="3" t="s">
        <v>329</v>
      </c>
      <c r="J106" s="3" t="str">
        <f>IF(I106&lt;&gt;"","IO_LOC """&amp;I106&amp;""" "&amp;D106&amp;";", "")</f>
        <v>IO_LOC "mipi_gpio[1]" E3;</v>
      </c>
    </row>
    <row r="107" spans="1:10">
      <c r="A107" s="3">
        <v>52</v>
      </c>
      <c r="B107" s="4" t="s">
        <v>174</v>
      </c>
      <c r="C107" s="4">
        <v>43</v>
      </c>
      <c r="D107" s="4" t="s">
        <v>223</v>
      </c>
      <c r="E107" s="4" t="s">
        <v>76</v>
      </c>
      <c r="F107" s="4">
        <v>7</v>
      </c>
      <c r="G107" s="4"/>
      <c r="H107" s="3">
        <v>1.8</v>
      </c>
      <c r="I107" s="3" t="s">
        <v>305</v>
      </c>
      <c r="J107" s="3" t="str">
        <f>IF(I107&lt;&gt;"","IO_LOC """&amp;I107&amp;""" "&amp;D107&amp;";", "")</f>
        <v>IO_LOC "mipi_pwr_en" G10;</v>
      </c>
    </row>
    <row r="108" spans="1:10">
      <c r="A108" s="3">
        <v>54</v>
      </c>
      <c r="B108" s="4" t="s">
        <v>174</v>
      </c>
      <c r="C108" s="4">
        <v>47</v>
      </c>
      <c r="D108" s="4" t="s">
        <v>224</v>
      </c>
      <c r="E108" s="4" t="s">
        <v>77</v>
      </c>
      <c r="F108" s="4">
        <v>6</v>
      </c>
      <c r="G108" s="4"/>
      <c r="H108" s="3">
        <v>1.8</v>
      </c>
      <c r="I108" s="3" t="s">
        <v>306</v>
      </c>
      <c r="J108" s="3" t="str">
        <f>IF(I108&lt;&gt;"","IO_LOC """&amp;I108&amp;""" "&amp;D108&amp;";", "")</f>
        <v>IO_LOC "mipi_scl" D11;</v>
      </c>
    </row>
    <row r="109" spans="1:10">
      <c r="A109" s="3">
        <v>55</v>
      </c>
      <c r="B109" s="4" t="s">
        <v>174</v>
      </c>
      <c r="C109" s="4">
        <v>49</v>
      </c>
      <c r="D109" s="4" t="s">
        <v>225</v>
      </c>
      <c r="E109" s="4" t="s">
        <v>37</v>
      </c>
      <c r="F109" s="4">
        <v>6</v>
      </c>
      <c r="G109" s="4"/>
      <c r="H109" s="3">
        <v>1.8</v>
      </c>
      <c r="I109" s="3" t="s">
        <v>307</v>
      </c>
      <c r="J109" s="3" t="str">
        <f>IF(I109&lt;&gt;"","IO_LOC """&amp;I109&amp;""" "&amp;D109&amp;";", "")</f>
        <v>IO_LOC "mipi_sda" D10;</v>
      </c>
    </row>
    <row r="110" spans="1:10">
      <c r="A110" s="3">
        <v>94</v>
      </c>
      <c r="B110" s="4" t="s">
        <v>82</v>
      </c>
      <c r="C110" s="4">
        <v>7</v>
      </c>
      <c r="D110" s="4" t="s">
        <v>267</v>
      </c>
      <c r="E110" s="4" t="s">
        <v>260</v>
      </c>
      <c r="F110" s="4">
        <v>5</v>
      </c>
      <c r="G110" s="4" t="s">
        <v>177</v>
      </c>
      <c r="H110" s="3">
        <v>3.3</v>
      </c>
      <c r="I110" s="3" t="s">
        <v>320</v>
      </c>
      <c r="J110" s="3" t="str">
        <f>IF(I110&lt;&gt;"","IO_LOC """&amp;I110&amp;""" "&amp;D110&amp;";", "")</f>
        <v>IO_LOC "pmod[0]" F2;</v>
      </c>
    </row>
    <row r="111" spans="1:10">
      <c r="A111" s="3">
        <v>95</v>
      </c>
      <c r="B111" s="4" t="s">
        <v>82</v>
      </c>
      <c r="C111" s="4">
        <v>9</v>
      </c>
      <c r="D111" s="4" t="s">
        <v>268</v>
      </c>
      <c r="E111" s="4" t="s">
        <v>261</v>
      </c>
      <c r="F111" s="4">
        <v>5</v>
      </c>
      <c r="G111" s="4" t="s">
        <v>177</v>
      </c>
      <c r="H111" s="3">
        <v>3.3</v>
      </c>
      <c r="I111" s="3" t="s">
        <v>321</v>
      </c>
      <c r="J111" s="3" t="str">
        <f>IF(I111&lt;&gt;"","IO_LOC """&amp;I111&amp;""" "&amp;D111&amp;";", "")</f>
        <v>IO_LOC "pmod[1]" F1;</v>
      </c>
    </row>
    <row r="112" spans="1:10">
      <c r="A112" s="3">
        <v>92</v>
      </c>
      <c r="B112" s="4" t="s">
        <v>82</v>
      </c>
      <c r="C112" s="4">
        <v>3</v>
      </c>
      <c r="D112" s="4" t="s">
        <v>265</v>
      </c>
      <c r="E112" s="4" t="s">
        <v>314</v>
      </c>
      <c r="F112" s="4">
        <v>5</v>
      </c>
      <c r="G112" s="4"/>
      <c r="H112" s="3">
        <v>3.3</v>
      </c>
      <c r="I112" s="3" t="s">
        <v>322</v>
      </c>
      <c r="J112" s="3" t="str">
        <f>IF(I112&lt;&gt;"","IO_LOC """&amp;I112&amp;""" "&amp;D112&amp;";", "")</f>
        <v>IO_LOC "pmod[2]" B2;</v>
      </c>
    </row>
    <row r="113" spans="1:10">
      <c r="A113" s="3">
        <v>93</v>
      </c>
      <c r="B113" s="4" t="s">
        <v>82</v>
      </c>
      <c r="C113" s="4">
        <v>5</v>
      </c>
      <c r="D113" s="4" t="s">
        <v>266</v>
      </c>
      <c r="E113" s="4" t="s">
        <v>259</v>
      </c>
      <c r="F113" s="4">
        <v>5</v>
      </c>
      <c r="G113" s="4"/>
      <c r="H113" s="3">
        <v>3.3</v>
      </c>
      <c r="I113" s="3" t="s">
        <v>323</v>
      </c>
      <c r="J113" s="3" t="str">
        <f>IF(I113&lt;&gt;"","IO_LOC """&amp;I113&amp;""" "&amp;D113&amp;";", "")</f>
        <v>IO_LOC "pmod[3]" C2;</v>
      </c>
    </row>
    <row r="114" spans="1:10">
      <c r="A114" s="3">
        <v>98</v>
      </c>
      <c r="B114" s="4" t="s">
        <v>82</v>
      </c>
      <c r="C114" s="4">
        <v>15</v>
      </c>
      <c r="D114" s="4" t="s">
        <v>271</v>
      </c>
      <c r="E114" s="4" t="s">
        <v>263</v>
      </c>
      <c r="F114" s="4">
        <v>5</v>
      </c>
      <c r="G114" s="4" t="s">
        <v>177</v>
      </c>
      <c r="H114" s="3">
        <v>3.3</v>
      </c>
      <c r="I114" s="3" t="s">
        <v>324</v>
      </c>
      <c r="J114" s="3" t="str">
        <f>IF(I114&lt;&gt;"","IO_LOC """&amp;I114&amp;""" "&amp;D114&amp;";", "")</f>
        <v>IO_LOC "pmod[4]" E1;</v>
      </c>
    </row>
    <row r="115" spans="1:10">
      <c r="A115" s="3">
        <v>99</v>
      </c>
      <c r="B115" s="4" t="s">
        <v>82</v>
      </c>
      <c r="C115" s="4">
        <v>17</v>
      </c>
      <c r="D115" s="4" t="s">
        <v>272</v>
      </c>
      <c r="E115" s="4" t="s">
        <v>264</v>
      </c>
      <c r="F115" s="4">
        <v>5</v>
      </c>
      <c r="G115" s="4"/>
      <c r="H115" s="3">
        <v>3.3</v>
      </c>
      <c r="I115" s="3" t="s">
        <v>325</v>
      </c>
      <c r="J115" s="3" t="str">
        <f>IF(I115&lt;&gt;"","IO_LOC """&amp;I115&amp;""" "&amp;D115&amp;";", "")</f>
        <v>IO_LOC "pmod[5]" D1;</v>
      </c>
    </row>
    <row r="116" spans="1:10">
      <c r="A116" s="3">
        <v>40</v>
      </c>
      <c r="B116" s="4" t="s">
        <v>174</v>
      </c>
      <c r="C116" s="4">
        <v>19</v>
      </c>
      <c r="D116" s="4" t="s">
        <v>202</v>
      </c>
      <c r="E116" s="4" t="s">
        <v>310</v>
      </c>
      <c r="F116" s="4">
        <v>4</v>
      </c>
      <c r="G116" s="4"/>
      <c r="H116" s="3">
        <v>3.3</v>
      </c>
      <c r="I116" s="3" t="s">
        <v>327</v>
      </c>
      <c r="J116" s="3" t="str">
        <f>IF(I116&lt;&gt;"","IO_LOC """&amp;I116&amp;""" "&amp;D116&amp;";", "")</f>
        <v>IO_LOC "pmod[6]" B3;</v>
      </c>
    </row>
    <row r="117" spans="1:10">
      <c r="A117" s="3">
        <v>41</v>
      </c>
      <c r="B117" s="4" t="s">
        <v>174</v>
      </c>
      <c r="C117" s="4">
        <v>21</v>
      </c>
      <c r="D117" s="4" t="s">
        <v>203</v>
      </c>
      <c r="E117" s="4" t="s">
        <v>311</v>
      </c>
      <c r="F117" s="4">
        <v>4</v>
      </c>
      <c r="G117" s="4"/>
      <c r="H117" s="3">
        <v>3.3</v>
      </c>
      <c r="I117" s="3" t="s">
        <v>326</v>
      </c>
      <c r="J117" s="3" t="str">
        <f>IF(I117&lt;&gt;"","IO_LOC """&amp;I117&amp;""" "&amp;D117&amp;";", "")</f>
        <v>IO_LOC "pmod[7]" C3;</v>
      </c>
    </row>
    <row r="118" spans="1:10">
      <c r="A118" s="3">
        <v>58</v>
      </c>
      <c r="B118" s="4" t="s">
        <v>174</v>
      </c>
      <c r="C118" s="4">
        <v>55</v>
      </c>
      <c r="D118" s="4" t="s">
        <v>228</v>
      </c>
      <c r="E118" s="4" t="s">
        <v>350</v>
      </c>
      <c r="F118" s="4">
        <v>6</v>
      </c>
      <c r="G118" s="4"/>
      <c r="H118" s="3">
        <v>1.8</v>
      </c>
      <c r="I118" s="3" t="s">
        <v>333</v>
      </c>
      <c r="J118" s="3" t="str">
        <f>IF(I118&lt;&gt;"","IO_LOC """&amp;I118&amp;""" "&amp;D118&amp;";", "")</f>
        <v>IO_LOC "push_sw[0]" B11;</v>
      </c>
    </row>
    <row r="119" spans="1:10">
      <c r="A119" s="3">
        <v>59</v>
      </c>
      <c r="B119" s="4" t="s">
        <v>174</v>
      </c>
      <c r="C119" s="4">
        <v>57</v>
      </c>
      <c r="D119" s="4" t="s">
        <v>229</v>
      </c>
      <c r="E119" s="4" t="s">
        <v>351</v>
      </c>
      <c r="F119" s="4">
        <v>6</v>
      </c>
      <c r="G119" s="4"/>
      <c r="H119" s="3">
        <v>1.8</v>
      </c>
      <c r="I119" s="3" t="s">
        <v>334</v>
      </c>
      <c r="J119" s="3" t="str">
        <f>IF(I119&lt;&gt;"","IO_LOC """&amp;I119&amp;""" "&amp;D119&amp;";", "")</f>
        <v>IO_LOC "push_sw[1]" B10;</v>
      </c>
    </row>
    <row r="120" spans="1:10">
      <c r="A120" s="3">
        <v>39</v>
      </c>
      <c r="B120" s="4" t="s">
        <v>174</v>
      </c>
      <c r="C120" s="4">
        <v>17</v>
      </c>
      <c r="D120" s="4" t="s">
        <v>199</v>
      </c>
      <c r="E120" s="4" t="s">
        <v>309</v>
      </c>
      <c r="F120" s="4">
        <v>4</v>
      </c>
      <c r="G120" s="4"/>
      <c r="H120" s="3">
        <v>3.3</v>
      </c>
      <c r="I120" s="3" t="s">
        <v>337</v>
      </c>
      <c r="J120" s="3" t="str">
        <f>IF(I120&lt;&gt;"","IO_LOC """&amp;I120&amp;""" "&amp;D120&amp;";", "")</f>
        <v>IO_LOC "test[0]" E8;</v>
      </c>
    </row>
    <row r="121" spans="1:10">
      <c r="A121" s="3">
        <v>43</v>
      </c>
      <c r="B121" s="4" t="s">
        <v>174</v>
      </c>
      <c r="C121" s="4">
        <v>25</v>
      </c>
      <c r="D121" s="4" t="s">
        <v>200</v>
      </c>
      <c r="E121" s="4" t="s">
        <v>312</v>
      </c>
      <c r="F121" s="4">
        <v>4</v>
      </c>
      <c r="G121" s="4"/>
      <c r="H121" s="3">
        <v>3.3</v>
      </c>
      <c r="I121" s="3" t="s">
        <v>338</v>
      </c>
      <c r="J121" s="3" t="str">
        <f>IF(I121&lt;&gt;"","IO_LOC """&amp;I121&amp;""" "&amp;D121&amp;";", "")</f>
        <v>IO_LOC "test[1]" D7;</v>
      </c>
    </row>
    <row r="122" spans="1:10">
      <c r="A122" s="3">
        <v>108</v>
      </c>
      <c r="B122" s="4" t="s">
        <v>82</v>
      </c>
      <c r="C122" s="4">
        <v>35</v>
      </c>
      <c r="D122" s="4"/>
      <c r="E122" s="4" t="s">
        <v>176</v>
      </c>
      <c r="F122" s="4"/>
      <c r="G122" s="4"/>
      <c r="H122" s="3"/>
      <c r="I122" s="3"/>
      <c r="J122" s="3" t="str">
        <f>IF(I122&lt;&gt;"","IO_LOC """&amp;I122&amp;""" "&amp;D122&amp;";", "")</f>
        <v/>
      </c>
    </row>
  </sheetData>
  <autoFilter ref="A1:J1" xr:uid="{EFAF74A9-B8B3-40D7-B10A-54925D8C7E75}"/>
  <sortState xmlns:xlrd2="http://schemas.microsoft.com/office/spreadsheetml/2017/richdata2" ref="A2:J122">
    <sortCondition ref="I1:I122"/>
  </sortState>
  <phoneticPr fontId="1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渕上竜司</dc:creator>
  <cp:lastModifiedBy>竜司 渕上</cp:lastModifiedBy>
  <dcterms:created xsi:type="dcterms:W3CDTF">2015-06-05T18:19:34Z</dcterms:created>
  <dcterms:modified xsi:type="dcterms:W3CDTF">2026-05-11T13:10:27Z</dcterms:modified>
</cp:coreProperties>
</file>